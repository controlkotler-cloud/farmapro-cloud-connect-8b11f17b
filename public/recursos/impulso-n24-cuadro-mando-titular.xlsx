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Cómo usar" sheetId="1" state="visible" r:id="rId1"/>
    <sheet xmlns:r="http://schemas.openxmlformats.org/officeDocument/2006/relationships" name="Entrada mensual" sheetId="2" state="visible" r:id="rId2"/>
    <sheet xmlns:r="http://schemas.openxmlformats.org/officeDocument/2006/relationships" name="2. Cuadro de man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0.0%"/>
    <numFmt numFmtId="166" formatCode="#,##0 €"/>
  </numFmts>
  <fonts count="8">
    <font>
      <name val="Calibri"/>
      <family val="2"/>
      <color theme="1"/>
      <sz val="11"/>
      <scheme val="minor"/>
    </font>
    <font>
      <name val="Calibri"/>
      <b val="1"/>
      <color rgb="001B5E20"/>
      <sz val="16"/>
    </font>
    <font>
      <name val="Calibri"/>
      <color rgb="00555555"/>
      <sz val="10"/>
    </font>
    <font>
      <name val="Calibri"/>
      <b val="1"/>
      <color rgb="001B5E20"/>
      <sz val="11"/>
    </font>
    <font>
      <name val="Calibri"/>
      <b val="1"/>
      <color rgb="001B5E20"/>
      <sz val="10"/>
    </font>
    <font>
      <name val="Calibri"/>
      <color rgb="00333333"/>
      <sz val="10"/>
    </font>
    <font>
      <name val="Calibri"/>
      <b val="1"/>
      <color rgb="00000000"/>
      <sz val="10"/>
    </font>
    <font>
      <name val="Calibri"/>
      <b val="1"/>
      <color rgb="001B5E20"/>
      <sz val="15"/>
    </font>
  </fonts>
  <fills count="4">
    <fill>
      <patternFill/>
    </fill>
    <fill>
      <patternFill patternType="gray125"/>
    </fill>
    <fill>
      <patternFill patternType="solid">
        <fgColor rgb="00E8F5E9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3" borderId="1" applyAlignment="1" pivotButton="0" quotePrefix="0" xfId="0">
      <alignment horizontal="center"/>
    </xf>
    <xf numFmtId="0" fontId="7" fillId="0" borderId="0" pivotButton="0" quotePrefix="0" xfId="0"/>
    <xf numFmtId="0" fontId="6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CUADRO DE MANDO DEL TITULAR</t>
        </is>
      </c>
    </row>
    <row r="2">
      <c r="A2" s="2" t="inlineStr">
        <is>
          <t>El complemento de la Edición #24 de farmapro Impulso · Datos que venden</t>
        </is>
      </c>
    </row>
    <row r="5">
      <c r="A5" s="3" t="inlineStr">
        <is>
          <t>QUÉ ES</t>
        </is>
      </c>
      <c r="B5" s="4" t="n"/>
    </row>
    <row r="6">
      <c r="A6" s="5" t="inlineStr">
        <is>
          <t>Tu farmacia entera en una pantalla, en 5 minutos al mes.</t>
        </is>
      </c>
      <c r="B6" s="6" t="inlineStr">
        <is>
          <t>Metes cuatro o cinco datos cada mes en la hoja "1. Entrada mensual" y la hoja "2. Cuadro de mando" calcula sola los 7 números que mandan, con un semáforo de color que compara cada mes con tu propio histórico.</t>
        </is>
      </c>
    </row>
    <row r="8">
      <c r="A8" s="3" t="inlineStr">
        <is>
          <t>CÓMO USARLO</t>
        </is>
      </c>
      <c r="B8" s="4" t="n"/>
    </row>
    <row r="9">
      <c r="A9" s="5" t="inlineStr">
        <is>
          <t>1. Rellena solo las celdas amarillas.</t>
        </is>
      </c>
      <c r="B9" s="6" t="inlineStr">
        <is>
          <t>En "1. Entrada mensual", una fila por mes. Lo demás se calcula solo.</t>
        </is>
      </c>
    </row>
    <row r="10">
      <c r="A10" s="5" t="inlineStr">
        <is>
          <t>2. Saca los datos de tu programa de gestión.</t>
        </is>
      </c>
      <c r="B10" s="6" t="inlineStr">
        <is>
          <t>Venta, número de operaciones (tickets), coste de lo vendido, venta libre y unidades. Los dos últimos (stock parado y % que repite) son opcionales.</t>
        </is>
      </c>
    </row>
    <row r="11">
      <c r="A11" s="5" t="inlineStr">
        <is>
          <t>3. Mira el cuadro de mando.</t>
        </is>
      </c>
      <c r="B11" s="6" t="inlineStr">
        <is>
          <t>Cada mes, lee la última fila y fíjate en los colores: verde es mejor que el mes anterior, rojo es peor. Sal con UNA decisión.</t>
        </is>
      </c>
    </row>
    <row r="13">
      <c r="A13" s="3" t="inlineStr">
        <is>
          <t>EL SEMÁFORO (importante)</t>
        </is>
      </c>
      <c r="B13" s="4" t="n"/>
    </row>
    <row r="14">
      <c r="A14" s="5" t="inlineStr">
        <is>
          <t>Verde / rojo por columna.</t>
        </is>
      </c>
      <c r="B14" s="6" t="inlineStr">
        <is>
          <t>El color compara cada mes con los demás de tu propia hoja, no con medias de fuera. En casi todos los números, verde = más alto = mejor.</t>
        </is>
      </c>
    </row>
    <row r="15">
      <c r="A15" s="5" t="inlineStr">
        <is>
          <t>Ojo con el stock muerto.</t>
        </is>
      </c>
      <c r="B15" s="6" t="inlineStr">
        <is>
          <t>En esa columna es al revés: verde = más bajo = mejor (menos dinero parado en cajones).</t>
        </is>
      </c>
    </row>
    <row r="17">
      <c r="A17" s="3" t="inlineStr">
        <is>
          <t>LA REGLA</t>
        </is>
      </c>
      <c r="B17" s="4" t="n"/>
    </row>
    <row r="18">
      <c r="B18" s="6" t="inlineStr">
        <is>
          <t>Mirar los números no mejora la farmacia: lo que la mejora es lo que haces después. Cada mes, una sola decisión. Un número que miras y no mueve nada es tiempo perdido.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0" customWidth="1" min="4" max="4"/>
    <col width="15" customWidth="1" min="5" max="5"/>
    <col width="16" customWidth="1" min="6" max="6"/>
    <col width="18" customWidth="1" min="7" max="7"/>
    <col width="16" customWidth="1" min="8" max="8"/>
  </cols>
  <sheetData>
    <row r="1" ht="30" customHeight="1">
      <c r="A1" s="7" t="inlineStr">
        <is>
          <t>Mes</t>
        </is>
      </c>
      <c r="B1" s="7" t="inlineStr">
        <is>
          <t>Venta total (€)</t>
        </is>
      </c>
      <c r="C1" s="7" t="inlineStr">
        <is>
          <t>Nº operaciones</t>
        </is>
      </c>
      <c r="D1" s="7" t="inlineStr">
        <is>
          <t>Coste de lo vendido (€)</t>
        </is>
      </c>
      <c r="E1" s="7" t="inlineStr">
        <is>
          <t>Venta libre (€)</t>
        </is>
      </c>
      <c r="F1" s="7" t="inlineStr">
        <is>
          <t>Unidades vendidas</t>
        </is>
      </c>
      <c r="G1" s="7" t="inlineStr">
        <is>
          <t>Stock parado (€) · opc.</t>
        </is>
      </c>
      <c r="H1" s="7" t="inlineStr">
        <is>
          <t>% que repite · opc.</t>
        </is>
      </c>
    </row>
    <row r="2">
      <c r="A2" s="8" t="inlineStr">
        <is>
          <t>Enero</t>
        </is>
      </c>
      <c r="B2" s="9" t="n"/>
      <c r="C2" s="9" t="n"/>
      <c r="D2" s="9" t="n"/>
      <c r="E2" s="9" t="n"/>
      <c r="F2" s="9" t="n"/>
      <c r="G2" s="9" t="n"/>
      <c r="H2" s="9" t="n"/>
    </row>
    <row r="3">
      <c r="A3" s="8" t="inlineStr">
        <is>
          <t>Febrero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8" t="inlineStr">
        <is>
          <t>Marzo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8" t="inlineStr">
        <is>
          <t>Abril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8" t="inlineStr">
        <is>
          <t>Mayo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8" t="inlineStr">
        <is>
          <t>Junio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8" t="inlineStr">
        <is>
          <t>Julio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8" t="inlineStr">
        <is>
          <t>Agosto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8" t="inlineStr">
        <is>
          <t>Septiembre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8" t="inlineStr">
        <is>
          <t>Octubre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8" t="inlineStr">
        <is>
          <t>Noviembre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8" t="inlineStr">
        <is>
          <t>Diciembre</t>
        </is>
      </c>
      <c r="B13" s="9" t="n"/>
      <c r="C13" s="9" t="n"/>
      <c r="D13" s="9" t="n"/>
      <c r="E13" s="9" t="n"/>
      <c r="F13" s="9" t="n"/>
      <c r="G13" s="9" t="n"/>
      <c r="H13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3" customWidth="1" min="4" max="4"/>
    <col width="15" customWidth="1" min="5" max="5"/>
    <col width="12" customWidth="1" min="6" max="6"/>
    <col width="16" customWidth="1" min="7" max="7"/>
    <col width="13" customWidth="1" min="8" max="8"/>
  </cols>
  <sheetData>
    <row r="1">
      <c r="A1" s="10" t="inlineStr">
        <is>
          <t>CUADRO DE MANDO · LOS 7 NÚMEROS</t>
        </is>
      </c>
    </row>
    <row r="2">
      <c r="A2" s="2" t="inlineStr">
        <is>
          <t>Se calcula solo desde "1. Entrada mensual". Verde = mejor que tus otros meses; rojo = peor. (Stock muerto: al revés.)</t>
        </is>
      </c>
    </row>
    <row r="4" ht="30" customHeight="1">
      <c r="A4" s="7" t="inlineStr">
        <is>
          <t>Mes</t>
        </is>
      </c>
      <c r="B4" s="7" t="inlineStr">
        <is>
          <t>Ticket medio (€)</t>
        </is>
      </c>
      <c r="C4" s="7" t="inlineStr">
        <is>
          <t>Nº operaciones</t>
        </is>
      </c>
      <c r="D4" s="7" t="inlineStr">
        <is>
          <t>Margen bruto</t>
        </is>
      </c>
      <c r="E4" s="7" t="inlineStr">
        <is>
          <t>Peso venta libre</t>
        </is>
      </c>
      <c r="F4" s="7" t="inlineStr">
        <is>
          <t>Uds / ticket</t>
        </is>
      </c>
      <c r="G4" s="7" t="inlineStr">
        <is>
          <t>Stock muerto (€)</t>
        </is>
      </c>
      <c r="H4" s="7" t="inlineStr">
        <is>
          <t>Recurrencia</t>
        </is>
      </c>
    </row>
    <row r="5">
      <c r="A5" s="11">
        <f>'Entrada mensual'!A2</f>
        <v/>
      </c>
      <c r="B5" s="12">
        <f>IFERROR('Entrada mensual'!B2/'Entrada mensual'!C2,"")</f>
        <v/>
      </c>
      <c r="C5" s="13">
        <f>IFERROR('Entrada mensual'!C2,"")</f>
        <v/>
      </c>
      <c r="D5" s="14">
        <f>IFERROR(('Entrada mensual'!B2-'Entrada mensual'!D2)/'Entrada mensual'!B2,"")</f>
        <v/>
      </c>
      <c r="E5" s="14">
        <f>IFERROR('Entrada mensual'!E2/'Entrada mensual'!B2,"")</f>
        <v/>
      </c>
      <c r="F5" s="15">
        <f>IFERROR('Entrada mensual'!F2/'Entrada mensual'!C2,"")</f>
        <v/>
      </c>
      <c r="G5" s="16">
        <f>IFERROR('Entrada mensual'!G2,"")</f>
        <v/>
      </c>
      <c r="H5" s="14">
        <f>IFERROR('Entrada mensual'!H2/100,"")</f>
        <v/>
      </c>
    </row>
    <row r="6">
      <c r="A6" s="11">
        <f>'Entrada mensual'!A3</f>
        <v/>
      </c>
      <c r="B6" s="12">
        <f>IFERROR('Entrada mensual'!B3/'Entrada mensual'!C3,"")</f>
        <v/>
      </c>
      <c r="C6" s="13">
        <f>IFERROR('Entrada mensual'!C3,"")</f>
        <v/>
      </c>
      <c r="D6" s="14">
        <f>IFERROR(('Entrada mensual'!B3-'Entrada mensual'!D3)/'Entrada mensual'!B3,"")</f>
        <v/>
      </c>
      <c r="E6" s="14">
        <f>IFERROR('Entrada mensual'!E3/'Entrada mensual'!B3,"")</f>
        <v/>
      </c>
      <c r="F6" s="15">
        <f>IFERROR('Entrada mensual'!F3/'Entrada mensual'!C3,"")</f>
        <v/>
      </c>
      <c r="G6" s="16">
        <f>IFERROR('Entrada mensual'!G3,"")</f>
        <v/>
      </c>
      <c r="H6" s="14">
        <f>IFERROR('Entrada mensual'!H3/100,"")</f>
        <v/>
      </c>
    </row>
    <row r="7">
      <c r="A7" s="11">
        <f>'Entrada mensual'!A4</f>
        <v/>
      </c>
      <c r="B7" s="12">
        <f>IFERROR('Entrada mensual'!B4/'Entrada mensual'!C4,"")</f>
        <v/>
      </c>
      <c r="C7" s="13">
        <f>IFERROR('Entrada mensual'!C4,"")</f>
        <v/>
      </c>
      <c r="D7" s="14">
        <f>IFERROR(('Entrada mensual'!B4-'Entrada mensual'!D4)/'Entrada mensual'!B4,"")</f>
        <v/>
      </c>
      <c r="E7" s="14">
        <f>IFERROR('Entrada mensual'!E4/'Entrada mensual'!B4,"")</f>
        <v/>
      </c>
      <c r="F7" s="15">
        <f>IFERROR('Entrada mensual'!F4/'Entrada mensual'!C4,"")</f>
        <v/>
      </c>
      <c r="G7" s="16">
        <f>IFERROR('Entrada mensual'!G4,"")</f>
        <v/>
      </c>
      <c r="H7" s="14">
        <f>IFERROR('Entrada mensual'!H4/100,"")</f>
        <v/>
      </c>
    </row>
    <row r="8">
      <c r="A8" s="11">
        <f>'Entrada mensual'!A5</f>
        <v/>
      </c>
      <c r="B8" s="12">
        <f>IFERROR('Entrada mensual'!B5/'Entrada mensual'!C5,"")</f>
        <v/>
      </c>
      <c r="C8" s="13">
        <f>IFERROR('Entrada mensual'!C5,"")</f>
        <v/>
      </c>
      <c r="D8" s="14">
        <f>IFERROR(('Entrada mensual'!B5-'Entrada mensual'!D5)/'Entrada mensual'!B5,"")</f>
        <v/>
      </c>
      <c r="E8" s="14">
        <f>IFERROR('Entrada mensual'!E5/'Entrada mensual'!B5,"")</f>
        <v/>
      </c>
      <c r="F8" s="15">
        <f>IFERROR('Entrada mensual'!F5/'Entrada mensual'!C5,"")</f>
        <v/>
      </c>
      <c r="G8" s="16">
        <f>IFERROR('Entrada mensual'!G5,"")</f>
        <v/>
      </c>
      <c r="H8" s="14">
        <f>IFERROR('Entrada mensual'!H5/100,"")</f>
        <v/>
      </c>
    </row>
    <row r="9">
      <c r="A9" s="11">
        <f>'Entrada mensual'!A6</f>
        <v/>
      </c>
      <c r="B9" s="12">
        <f>IFERROR('Entrada mensual'!B6/'Entrada mensual'!C6,"")</f>
        <v/>
      </c>
      <c r="C9" s="13">
        <f>IFERROR('Entrada mensual'!C6,"")</f>
        <v/>
      </c>
      <c r="D9" s="14">
        <f>IFERROR(('Entrada mensual'!B6-'Entrada mensual'!D6)/'Entrada mensual'!B6,"")</f>
        <v/>
      </c>
      <c r="E9" s="14">
        <f>IFERROR('Entrada mensual'!E6/'Entrada mensual'!B6,"")</f>
        <v/>
      </c>
      <c r="F9" s="15">
        <f>IFERROR('Entrada mensual'!F6/'Entrada mensual'!C6,"")</f>
        <v/>
      </c>
      <c r="G9" s="16">
        <f>IFERROR('Entrada mensual'!G6,"")</f>
        <v/>
      </c>
      <c r="H9" s="14">
        <f>IFERROR('Entrada mensual'!H6/100,"")</f>
        <v/>
      </c>
    </row>
    <row r="10">
      <c r="A10" s="11">
        <f>'Entrada mensual'!A7</f>
        <v/>
      </c>
      <c r="B10" s="12">
        <f>IFERROR('Entrada mensual'!B7/'Entrada mensual'!C7,"")</f>
        <v/>
      </c>
      <c r="C10" s="13">
        <f>IFERROR('Entrada mensual'!C7,"")</f>
        <v/>
      </c>
      <c r="D10" s="14">
        <f>IFERROR(('Entrada mensual'!B7-'Entrada mensual'!D7)/'Entrada mensual'!B7,"")</f>
        <v/>
      </c>
      <c r="E10" s="14">
        <f>IFERROR('Entrada mensual'!E7/'Entrada mensual'!B7,"")</f>
        <v/>
      </c>
      <c r="F10" s="15">
        <f>IFERROR('Entrada mensual'!F7/'Entrada mensual'!C7,"")</f>
        <v/>
      </c>
      <c r="G10" s="16">
        <f>IFERROR('Entrada mensual'!G7,"")</f>
        <v/>
      </c>
      <c r="H10" s="14">
        <f>IFERROR('Entrada mensual'!H7/100,"")</f>
        <v/>
      </c>
    </row>
    <row r="11">
      <c r="A11" s="11">
        <f>'Entrada mensual'!A8</f>
        <v/>
      </c>
      <c r="B11" s="12">
        <f>IFERROR('Entrada mensual'!B8/'Entrada mensual'!C8,"")</f>
        <v/>
      </c>
      <c r="C11" s="13">
        <f>IFERROR('Entrada mensual'!C8,"")</f>
        <v/>
      </c>
      <c r="D11" s="14">
        <f>IFERROR(('Entrada mensual'!B8-'Entrada mensual'!D8)/'Entrada mensual'!B8,"")</f>
        <v/>
      </c>
      <c r="E11" s="14">
        <f>IFERROR('Entrada mensual'!E8/'Entrada mensual'!B8,"")</f>
        <v/>
      </c>
      <c r="F11" s="15">
        <f>IFERROR('Entrada mensual'!F8/'Entrada mensual'!C8,"")</f>
        <v/>
      </c>
      <c r="G11" s="16">
        <f>IFERROR('Entrada mensual'!G8,"")</f>
        <v/>
      </c>
      <c r="H11" s="14">
        <f>IFERROR('Entrada mensual'!H8/100,"")</f>
        <v/>
      </c>
    </row>
    <row r="12">
      <c r="A12" s="11">
        <f>'Entrada mensual'!A9</f>
        <v/>
      </c>
      <c r="B12" s="12">
        <f>IFERROR('Entrada mensual'!B9/'Entrada mensual'!C9,"")</f>
        <v/>
      </c>
      <c r="C12" s="13">
        <f>IFERROR('Entrada mensual'!C9,"")</f>
        <v/>
      </c>
      <c r="D12" s="14">
        <f>IFERROR(('Entrada mensual'!B9-'Entrada mensual'!D9)/'Entrada mensual'!B9,"")</f>
        <v/>
      </c>
      <c r="E12" s="14">
        <f>IFERROR('Entrada mensual'!E9/'Entrada mensual'!B9,"")</f>
        <v/>
      </c>
      <c r="F12" s="15">
        <f>IFERROR('Entrada mensual'!F9/'Entrada mensual'!C9,"")</f>
        <v/>
      </c>
      <c r="G12" s="16">
        <f>IFERROR('Entrada mensual'!G9,"")</f>
        <v/>
      </c>
      <c r="H12" s="14">
        <f>IFERROR('Entrada mensual'!H9/100,"")</f>
        <v/>
      </c>
    </row>
    <row r="13">
      <c r="A13" s="11">
        <f>'Entrada mensual'!A10</f>
        <v/>
      </c>
      <c r="B13" s="12">
        <f>IFERROR('Entrada mensual'!B10/'Entrada mensual'!C10,"")</f>
        <v/>
      </c>
      <c r="C13" s="13">
        <f>IFERROR('Entrada mensual'!C10,"")</f>
        <v/>
      </c>
      <c r="D13" s="14">
        <f>IFERROR(('Entrada mensual'!B10-'Entrada mensual'!D10)/'Entrada mensual'!B10,"")</f>
        <v/>
      </c>
      <c r="E13" s="14">
        <f>IFERROR('Entrada mensual'!E10/'Entrada mensual'!B10,"")</f>
        <v/>
      </c>
      <c r="F13" s="15">
        <f>IFERROR('Entrada mensual'!F10/'Entrada mensual'!C10,"")</f>
        <v/>
      </c>
      <c r="G13" s="16">
        <f>IFERROR('Entrada mensual'!G10,"")</f>
        <v/>
      </c>
      <c r="H13" s="14">
        <f>IFERROR('Entrada mensual'!H10/100,"")</f>
        <v/>
      </c>
    </row>
    <row r="14">
      <c r="A14" s="11">
        <f>'Entrada mensual'!A11</f>
        <v/>
      </c>
      <c r="B14" s="12">
        <f>IFERROR('Entrada mensual'!B11/'Entrada mensual'!C11,"")</f>
        <v/>
      </c>
      <c r="C14" s="13">
        <f>IFERROR('Entrada mensual'!C11,"")</f>
        <v/>
      </c>
      <c r="D14" s="14">
        <f>IFERROR(('Entrada mensual'!B11-'Entrada mensual'!D11)/'Entrada mensual'!B11,"")</f>
        <v/>
      </c>
      <c r="E14" s="14">
        <f>IFERROR('Entrada mensual'!E11/'Entrada mensual'!B11,"")</f>
        <v/>
      </c>
      <c r="F14" s="15">
        <f>IFERROR('Entrada mensual'!F11/'Entrada mensual'!C11,"")</f>
        <v/>
      </c>
      <c r="G14" s="16">
        <f>IFERROR('Entrada mensual'!G11,"")</f>
        <v/>
      </c>
      <c r="H14" s="14">
        <f>IFERROR('Entrada mensual'!H11/100,"")</f>
        <v/>
      </c>
    </row>
    <row r="15">
      <c r="A15" s="11">
        <f>'Entrada mensual'!A12</f>
        <v/>
      </c>
      <c r="B15" s="12">
        <f>IFERROR('Entrada mensual'!B12/'Entrada mensual'!C12,"")</f>
        <v/>
      </c>
      <c r="C15" s="13">
        <f>IFERROR('Entrada mensual'!C12,"")</f>
        <v/>
      </c>
      <c r="D15" s="14">
        <f>IFERROR(('Entrada mensual'!B12-'Entrada mensual'!D12)/'Entrada mensual'!B12,"")</f>
        <v/>
      </c>
      <c r="E15" s="14">
        <f>IFERROR('Entrada mensual'!E12/'Entrada mensual'!B12,"")</f>
        <v/>
      </c>
      <c r="F15" s="15">
        <f>IFERROR('Entrada mensual'!F12/'Entrada mensual'!C12,"")</f>
        <v/>
      </c>
      <c r="G15" s="16">
        <f>IFERROR('Entrada mensual'!G12,"")</f>
        <v/>
      </c>
      <c r="H15" s="14">
        <f>IFERROR('Entrada mensual'!H12/100,"")</f>
        <v/>
      </c>
    </row>
    <row r="16">
      <c r="A16" s="11">
        <f>'Entrada mensual'!A13</f>
        <v/>
      </c>
      <c r="B16" s="12">
        <f>IFERROR('Entrada mensual'!B13/'Entrada mensual'!C13,"")</f>
        <v/>
      </c>
      <c r="C16" s="13">
        <f>IFERROR('Entrada mensual'!C13,"")</f>
        <v/>
      </c>
      <c r="D16" s="14">
        <f>IFERROR(('Entrada mensual'!B13-'Entrada mensual'!D13)/'Entrada mensual'!B13,"")</f>
        <v/>
      </c>
      <c r="E16" s="14">
        <f>IFERROR('Entrada mensual'!E13/'Entrada mensual'!B13,"")</f>
        <v/>
      </c>
      <c r="F16" s="15">
        <f>IFERROR('Entrada mensual'!F13/'Entrada mensual'!C13,"")</f>
        <v/>
      </c>
      <c r="G16" s="16">
        <f>IFERROR('Entrada mensual'!G13,"")</f>
        <v/>
      </c>
      <c r="H16" s="14">
        <f>IFERROR('Entrada mensual'!H13/100,"")</f>
        <v/>
      </c>
    </row>
    <row r="18">
      <c r="A18" s="17" t="inlineStr">
        <is>
          <t>Cada mes: lee la última fila, mira los colores y sal con UNA decisión. Verde = mejor que tus otros meses; rojo = peor (en stock muerto, al revés).</t>
        </is>
      </c>
    </row>
  </sheetData>
  <mergeCells count="2">
    <mergeCell ref="A18:H18"/>
    <mergeCell ref="A2:H2"/>
  </mergeCells>
  <conditionalFormatting sqref="B5:B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:C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:D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:E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:F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:H1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:G16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2026-06-29T18:22:32Z</dcterms:created>
  <dcterms:modified xmlns:dcterms="http://purl.org/dc/terms/" xmlns:xsi="http://www.w3.org/2001/XMLSchema-instance" xsi:type="dcterms:W3CDTF">2026-06-29T18:22:32Z</dcterms:modified>
</cp:coreProperties>
</file>