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trada" sheetId="1" state="visible" r:id="rId1"/>
    <sheet xmlns:r="http://schemas.openxmlformats.org/officeDocument/2006/relationships" name="2. Ratios" sheetId="2" state="visible" r:id="rId2"/>
    <sheet xmlns:r="http://schemas.openxmlformats.org/officeDocument/2006/relationships" name="3. Tendencia" sheetId="3" state="visible" r:id="rId3"/>
    <sheet xmlns:r="http://schemas.openxmlformats.org/officeDocument/2006/relationships" name="4. Cómo se l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 &quot;d&quot;"/>
    <numFmt numFmtId="166" formatCode="#,##0 €"/>
  </numFmts>
  <fonts count="10">
    <font>
      <name val="Calibri"/>
      <family val="2"/>
      <color theme="1"/>
      <sz val="11"/>
      <scheme val="minor"/>
    </font>
    <font>
      <name val="Calibri"/>
      <b val="1"/>
      <color rgb="005F8F20"/>
      <sz val="16"/>
    </font>
    <font>
      <name val="Calibri"/>
      <color rgb="006B7280"/>
      <sz val="10"/>
    </font>
    <font>
      <name val="Calibri"/>
      <b val="1"/>
      <color rgb="005F8F20"/>
      <sz val="9"/>
    </font>
    <font>
      <name val="Calibri"/>
      <b val="1"/>
      <color rgb="001A1A1A"/>
      <sz val="9"/>
    </font>
    <font>
      <name val="Calibri"/>
      <b val="1"/>
      <color rgb="001A1A1A"/>
      <sz val="10"/>
    </font>
    <font>
      <name val="Calibri"/>
      <i val="1"/>
      <color rgb="006B7280"/>
      <sz val="9"/>
    </font>
    <font>
      <name val="Calibri"/>
      <b val="1"/>
      <color rgb="001A1A1A"/>
      <sz val="12"/>
    </font>
    <font>
      <name val="Calibri"/>
      <color rgb="001A1A1A"/>
      <sz val="10"/>
    </font>
    <font>
      <name val="Calibri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F4F8EA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4" borderId="1" applyAlignment="1" pivotButton="0" quotePrefix="0" xfId="0">
      <alignment horizontal="center"/>
    </xf>
    <xf numFmtId="0" fontId="5" fillId="5" borderId="1" pivotButton="0" quotePrefix="0" xfId="0"/>
    <xf numFmtId="0" fontId="6" fillId="0" borderId="0" applyAlignment="1" pivotButton="0" quotePrefix="0" xfId="0">
      <alignment vertical="top" wrapText="1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 inden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cinco ratios, mes a mes</a:t>
            </a:r>
          </a:p>
        </rich>
      </tx>
    </title>
    <plotArea>
      <lineChart>
        <grouping val="standard"/>
        <ser>
          <idx val="0"/>
          <order val="0"/>
          <tx>
            <strRef>
              <f>'2. Ratios'!N5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Ratios'!$A$6:$A$17</f>
            </numRef>
          </cat>
          <val>
            <numRef>
              <f>'2. Ratios'!$N$6:$N$17</f>
            </numRef>
          </val>
        </ser>
        <ser>
          <idx val="1"/>
          <order val="1"/>
          <tx>
            <strRef>
              <f>'2. Ratios'!O5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Ratios'!$A$6:$A$17</f>
            </numRef>
          </cat>
          <val>
            <numRef>
              <f>'2. Ratios'!$O$6:$O$17</f>
            </numRef>
          </val>
        </ser>
        <ser>
          <idx val="2"/>
          <order val="2"/>
          <tx>
            <strRef>
              <f>'2. Ratios'!V5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Ratios'!$A$6:$A$17</f>
            </numRef>
          </cat>
          <val>
            <numRef>
              <f>'2. Ratios'!$V$6:$V$17</f>
            </numRef>
          </val>
        </ser>
        <ser>
          <idx val="3"/>
          <order val="3"/>
          <tx>
            <strRef>
              <f>'2. Ratios'!X5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Ratios'!$A$6:$A$17</f>
            </numRef>
          </cat>
          <val>
            <numRef>
              <f>'2. Ratios'!$X$6:$X$17</f>
            </numRef>
          </val>
        </ser>
        <axId val="10"/>
        <axId val="100"/>
      </lineChart>
      <lineChart>
        <grouping val="standard"/>
        <ser>
          <idx val="4"/>
          <order val="4"/>
          <tx>
            <strRef>
              <f>'2. Ratios'!W5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'2. Ratios'!$W$6:$W$17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· días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 muerto (€)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4" customWidth="1" min="23" max="23"/>
  </cols>
  <sheetData>
    <row r="1" ht="24" customHeight="1">
      <c r="A1" s="1" t="inlineStr">
        <is>
          <t>CUENTA DE RESULTADOS DE BOLSILLO · ENTRADA</t>
        </is>
      </c>
    </row>
    <row r="2" ht="16" customHeight="1">
      <c r="A2" s="2" t="inlineStr">
        <is>
          <t>Complemento de farmapro Impulso, edición 28 · La rentabilidad oculta. Rellena solo las celdas amarillas, una fila por mes. Todo lo demás se calcula en la hoja "2. Ratios".</t>
        </is>
      </c>
    </row>
    <row r="3" ht="8" customHeight="1"/>
    <row r="4" ht="22" customHeight="1">
      <c r="B4" s="3" t="inlineStr">
        <is>
          <t>VENTAS POR FAMILIA (€)</t>
        </is>
      </c>
      <c r="C4" s="4" t="n"/>
      <c r="D4" s="4" t="n"/>
      <c r="E4" s="4" t="n"/>
      <c r="F4" s="4" t="n"/>
      <c r="G4" s="4" t="n"/>
      <c r="H4" s="3" t="inlineStr">
        <is>
          <t>COSTE DE ESA VENTA POR FAMILIA (€)</t>
        </is>
      </c>
      <c r="I4" s="4" t="n"/>
      <c r="J4" s="4" t="n"/>
      <c r="K4" s="4" t="n"/>
      <c r="L4" s="4" t="n"/>
      <c r="M4" s="4" t="n"/>
      <c r="N4" s="3" t="inlineStr">
        <is>
          <t>PERSONAL Y GASTOS FIJOS (€)</t>
        </is>
      </c>
      <c r="O4" s="4" t="n"/>
      <c r="P4" s="3" t="inlineStr">
        <is>
          <t>STOCK A PRECIO DE COSTE POR FAMILIA (€)</t>
        </is>
      </c>
      <c r="Q4" s="4" t="n"/>
      <c r="R4" s="4" t="n"/>
      <c r="S4" s="4" t="n"/>
      <c r="T4" s="4" t="n"/>
      <c r="U4" s="4" t="n"/>
      <c r="V4" s="3" t="inlineStr">
        <is>
          <t>DESFASE DE CAJA (DÍAS)</t>
        </is>
      </c>
      <c r="W4" s="4" t="n"/>
    </row>
    <row r="5" ht="32" customHeight="1">
      <c r="A5" s="5" t="inlineStr">
        <is>
          <t>Mes</t>
        </is>
      </c>
      <c r="B5" s="5" t="inlineStr">
        <is>
          <t>Receta</t>
        </is>
      </c>
      <c r="C5" s="5" t="inlineStr">
        <is>
          <t>OTC</t>
        </is>
      </c>
      <c r="D5" s="5" t="inlineStr">
        <is>
          <t>Dermocosmética</t>
        </is>
      </c>
      <c r="E5" s="5" t="inlineStr">
        <is>
          <t>Nutrición</t>
        </is>
      </c>
      <c r="F5" s="5" t="inlineStr">
        <is>
          <t>Ortopedia</t>
        </is>
      </c>
      <c r="G5" s="5" t="inlineStr">
        <is>
          <t>Otros</t>
        </is>
      </c>
      <c r="H5" s="5" t="inlineStr">
        <is>
          <t>Receta</t>
        </is>
      </c>
      <c r="I5" s="5" t="inlineStr">
        <is>
          <t>OTC</t>
        </is>
      </c>
      <c r="J5" s="5" t="inlineStr">
        <is>
          <t>Dermocosmética</t>
        </is>
      </c>
      <c r="K5" s="5" t="inlineStr">
        <is>
          <t>Nutrición</t>
        </is>
      </c>
      <c r="L5" s="5" t="inlineStr">
        <is>
          <t>Ortopedia</t>
        </is>
      </c>
      <c r="M5" s="5" t="inlineStr">
        <is>
          <t>Otros</t>
        </is>
      </c>
      <c r="N5" s="5" t="inlineStr">
        <is>
          <t>Coste de personal (€)</t>
        </is>
      </c>
      <c r="O5" s="5" t="inlineStr">
        <is>
          <t>Gastos fijos totales del mes (€)</t>
        </is>
      </c>
      <c r="P5" s="5" t="inlineStr">
        <is>
          <t>Receta</t>
        </is>
      </c>
      <c r="Q5" s="5" t="inlineStr">
        <is>
          <t>OTC</t>
        </is>
      </c>
      <c r="R5" s="5" t="inlineStr">
        <is>
          <t>Dermocosmética</t>
        </is>
      </c>
      <c r="S5" s="5" t="inlineStr">
        <is>
          <t>Nutrición</t>
        </is>
      </c>
      <c r="T5" s="5" t="inlineStr">
        <is>
          <t>Ortopedia</t>
        </is>
      </c>
      <c r="U5" s="5" t="inlineStr">
        <is>
          <t>Otros</t>
        </is>
      </c>
      <c r="V5" s="5" t="inlineStr">
        <is>
          <t>Días de cobro (receta)</t>
        </is>
      </c>
      <c r="W5" s="5" t="inlineStr">
        <is>
          <t>Días de pago (mayorista)</t>
        </is>
      </c>
    </row>
    <row r="6">
      <c r="A6" s="6" t="inlineStr">
        <is>
          <t>Enero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8" t="inlineStr">
        <is>
          <t>Febrero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A8" s="6" t="inlineStr">
        <is>
          <t>Marzo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8" t="inlineStr">
        <is>
          <t>Abril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>
      <c r="A10" s="6" t="inlineStr">
        <is>
          <t>Mayo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8" t="inlineStr">
        <is>
          <t>Junio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>
      <c r="A12" s="6" t="inlineStr">
        <is>
          <t>Julio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8" t="inlineStr">
        <is>
          <t>Agosto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>
      <c r="A14" s="6" t="inlineStr">
        <is>
          <t>Septiembre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8" t="inlineStr">
        <is>
          <t>Octubre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6" t="inlineStr">
        <is>
          <t>Noviembre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8" t="inlineStr">
        <is>
          <t>Diciembre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9" ht="42" customHeight="1">
      <c r="A19" s="9" t="inlineStr">
        <is>
          <t>Amarillo = celda de entrada (la rellenas tú). Blanco = se calcula sola en la hoja "2. Ratios". El coste de personal va aparte de gastos fijos porque el ratio 2 lo necesita solo: son los salarios más la Seguridad Social a cargo de la empresa, incluido tu propio coste si estás en el mostrador. Gastos fijos totales SÍ incluye el personal (alquiler, suministros, personal, cuotas...): es el que hace falta para el punto muerto.</t>
        </is>
      </c>
    </row>
  </sheetData>
  <mergeCells count="8">
    <mergeCell ref="V4:W4"/>
    <mergeCell ref="A1:W1"/>
    <mergeCell ref="P4:U4"/>
    <mergeCell ref="H4:M4"/>
    <mergeCell ref="B4:G4"/>
    <mergeCell ref="A2:W2"/>
    <mergeCell ref="A19:W19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5" customWidth="1" min="23" max="23"/>
    <col width="14" customWidth="1" min="24" max="24"/>
  </cols>
  <sheetData>
    <row r="1" ht="24" customHeight="1">
      <c r="A1" s="1" t="inlineStr">
        <is>
          <t>LOS CINCO RATIOS · CALCULADO SOLO</t>
        </is>
      </c>
    </row>
    <row r="2" ht="16" customHeight="1">
      <c r="A2" s="2" t="inlineStr">
        <is>
          <t>Se calcula entero desde "1. Entrada". El color de cada celda te compara con tus propios doce meses, nunca con datos de fuera.</t>
        </is>
      </c>
    </row>
    <row r="3" ht="8" customHeight="1"/>
    <row r="4" ht="22" customHeight="1">
      <c r="B4" s="3" t="inlineStr">
        <is>
          <t>MARGEN BRUTO POR FAMILIA (%)</t>
        </is>
      </c>
      <c r="C4" s="4" t="n"/>
      <c r="D4" s="4" t="n"/>
      <c r="E4" s="4" t="n"/>
      <c r="F4" s="4" t="n"/>
      <c r="G4" s="4" t="n"/>
      <c r="H4" s="3" t="inlineStr">
        <is>
          <t>PESO SOBRE VENTA TOTAL (%)</t>
        </is>
      </c>
      <c r="I4" s="4" t="n"/>
      <c r="J4" s="4" t="n"/>
      <c r="K4" s="4" t="n"/>
      <c r="L4" s="4" t="n"/>
      <c r="M4" s="4" t="n"/>
      <c r="N4" s="3" t="inlineStr">
        <is>
          <t>RATIOS 1B Y 2 · GLOBAL</t>
        </is>
      </c>
      <c r="O4" s="4" t="n"/>
      <c r="P4" s="3" t="inlineStr">
        <is>
          <t>COBERTURA DE STOCK POR FAMILIA (DÍAS)</t>
        </is>
      </c>
      <c r="Q4" s="4" t="n"/>
      <c r="R4" s="4" t="n"/>
      <c r="S4" s="4" t="n"/>
      <c r="T4" s="4" t="n"/>
      <c r="U4" s="4" t="n"/>
      <c r="V4" s="3" t="inlineStr">
        <is>
          <t>RATIOS 3B, 4 Y 5 · GLOBAL</t>
        </is>
      </c>
      <c r="W4" s="4" t="n"/>
      <c r="X4" s="4" t="n"/>
    </row>
    <row r="5" ht="32" customHeight="1">
      <c r="A5" s="5" t="inlineStr">
        <is>
          <t>Mes</t>
        </is>
      </c>
      <c r="B5" s="5" t="inlineStr">
        <is>
          <t>Receta</t>
        </is>
      </c>
      <c r="C5" s="5" t="inlineStr">
        <is>
          <t>OTC</t>
        </is>
      </c>
      <c r="D5" s="5" t="inlineStr">
        <is>
          <t>Dermocosmética</t>
        </is>
      </c>
      <c r="E5" s="5" t="inlineStr">
        <is>
          <t>Nutrición</t>
        </is>
      </c>
      <c r="F5" s="5" t="inlineStr">
        <is>
          <t>Ortopedia</t>
        </is>
      </c>
      <c r="G5" s="5" t="inlineStr">
        <is>
          <t>Otros</t>
        </is>
      </c>
      <c r="H5" s="5" t="inlineStr">
        <is>
          <t>Receta</t>
        </is>
      </c>
      <c r="I5" s="5" t="inlineStr">
        <is>
          <t>OTC</t>
        </is>
      </c>
      <c r="J5" s="5" t="inlineStr">
        <is>
          <t>Dermocosmética</t>
        </is>
      </c>
      <c r="K5" s="5" t="inlineStr">
        <is>
          <t>Nutrición</t>
        </is>
      </c>
      <c r="L5" s="5" t="inlineStr">
        <is>
          <t>Ortopedia</t>
        </is>
      </c>
      <c r="M5" s="5" t="inlineStr">
        <is>
          <t>Otros</t>
        </is>
      </c>
      <c r="N5" s="5" t="inlineStr">
        <is>
          <t>Margen bruto global</t>
        </is>
      </c>
      <c r="O5" s="5" t="inlineStr">
        <is>
          <t>Personal / margen bruto</t>
        </is>
      </c>
      <c r="P5" s="5" t="inlineStr">
        <is>
          <t>Receta</t>
        </is>
      </c>
      <c r="Q5" s="5" t="inlineStr">
        <is>
          <t>OTC</t>
        </is>
      </c>
      <c r="R5" s="5" t="inlineStr">
        <is>
          <t>Dermocosmética</t>
        </is>
      </c>
      <c r="S5" s="5" t="inlineStr">
        <is>
          <t>Nutrición</t>
        </is>
      </c>
      <c r="T5" s="5" t="inlineStr">
        <is>
          <t>Ortopedia</t>
        </is>
      </c>
      <c r="U5" s="5" t="inlineStr">
        <is>
          <t>Otros</t>
        </is>
      </c>
      <c r="V5" s="5" t="inlineStr">
        <is>
          <t>Cobertura stock global</t>
        </is>
      </c>
      <c r="W5" s="5" t="inlineStr">
        <is>
          <t>Punto muerto del mes (€)</t>
        </is>
      </c>
      <c r="X5" s="5" t="inlineStr">
        <is>
          <t>Desfase de caja (días)</t>
        </is>
      </c>
    </row>
    <row r="6">
      <c r="A6" s="10">
        <f>'1. Entrada'!A6</f>
        <v/>
      </c>
      <c r="B6" s="11">
        <f>IFERROR(('1. Entrada'!B6-'1. Entrada'!H6)/'1. Entrada'!B6,"")</f>
        <v/>
      </c>
      <c r="C6" s="11">
        <f>IFERROR(('1. Entrada'!C6-'1. Entrada'!I6)/'1. Entrada'!C6,"")</f>
        <v/>
      </c>
      <c r="D6" s="11">
        <f>IFERROR(('1. Entrada'!D6-'1. Entrada'!J6)/'1. Entrada'!D6,"")</f>
        <v/>
      </c>
      <c r="E6" s="11">
        <f>IFERROR(('1. Entrada'!E6-'1. Entrada'!K6)/'1. Entrada'!E6,"")</f>
        <v/>
      </c>
      <c r="F6" s="11">
        <f>IFERROR(('1. Entrada'!F6-'1. Entrada'!L6)/'1. Entrada'!F6,"")</f>
        <v/>
      </c>
      <c r="G6" s="11">
        <f>IFERROR(('1. Entrada'!G6-'1. Entrada'!M6)/'1. Entrada'!G6,"")</f>
        <v/>
      </c>
      <c r="H6" s="11">
        <f>IFERROR('1. Entrada'!B6/(SUM('1. Entrada'!B6:G6)),"")</f>
        <v/>
      </c>
      <c r="I6" s="11">
        <f>IFERROR('1. Entrada'!C6/(SUM('1. Entrada'!B6:G6)),"")</f>
        <v/>
      </c>
      <c r="J6" s="11">
        <f>IFERROR('1. Entrada'!D6/(SUM('1. Entrada'!B6:G6)),"")</f>
        <v/>
      </c>
      <c r="K6" s="11">
        <f>IFERROR('1. Entrada'!E6/(SUM('1. Entrada'!B6:G6)),"")</f>
        <v/>
      </c>
      <c r="L6" s="11">
        <f>IFERROR('1. Entrada'!F6/(SUM('1. Entrada'!B6:G6)),"")</f>
        <v/>
      </c>
      <c r="M6" s="11">
        <f>IFERROR('1. Entrada'!G6/(SUM('1. Entrada'!B6:G6)),"")</f>
        <v/>
      </c>
      <c r="N6" s="11">
        <f>IFERROR(((SUM('1. Entrada'!B6:G6))-(SUM('1. Entrada'!H6:M6)))/(SUM('1. Entrada'!B6:G6)),"")</f>
        <v/>
      </c>
      <c r="O6" s="11">
        <f>IFERROR('1. Entrada'!N6/((SUM('1. Entrada'!B6:G6))-(SUM('1. Entrada'!H6:M6))),"")</f>
        <v/>
      </c>
      <c r="P6" s="12">
        <f>IFERROR('1. Entrada'!P6/'1. Entrada'!H6*30,"")</f>
        <v/>
      </c>
      <c r="Q6" s="12">
        <f>IFERROR('1. Entrada'!Q6/'1. Entrada'!I6*30,"")</f>
        <v/>
      </c>
      <c r="R6" s="12">
        <f>IFERROR('1. Entrada'!R6/'1. Entrada'!J6*30,"")</f>
        <v/>
      </c>
      <c r="S6" s="12">
        <f>IFERROR('1. Entrada'!S6/'1. Entrada'!K6*30,"")</f>
        <v/>
      </c>
      <c r="T6" s="12">
        <f>IFERROR('1. Entrada'!T6/'1. Entrada'!L6*30,"")</f>
        <v/>
      </c>
      <c r="U6" s="12">
        <f>IFERROR('1. Entrada'!U6/'1. Entrada'!M6*30,"")</f>
        <v/>
      </c>
      <c r="V6" s="12">
        <f>IFERROR((SUM('1. Entrada'!P6:U6))/(SUM('1. Entrada'!H6:M6))*30,"")</f>
        <v/>
      </c>
      <c r="W6" s="13">
        <f>IFERROR('1. Entrada'!O6/(((SUM('1. Entrada'!B6:G6))-(SUM('1. Entrada'!H6:M6)))/(SUM('1. Entrada'!B6:G6))),"")</f>
        <v/>
      </c>
      <c r="X6" s="12">
        <f>IF(OR('1. Entrada'!V6="",'1. Entrada'!W6=""),"",'1. Entrada'!V6-'1. Entrada'!W6)</f>
        <v/>
      </c>
    </row>
    <row r="7">
      <c r="A7" s="8">
        <f>'1. Entrada'!A7</f>
        <v/>
      </c>
      <c r="B7" s="14">
        <f>IFERROR(('1. Entrada'!B7-'1. Entrada'!H7)/'1. Entrada'!B7,"")</f>
        <v/>
      </c>
      <c r="C7" s="14">
        <f>IFERROR(('1. Entrada'!C7-'1. Entrada'!I7)/'1. Entrada'!C7,"")</f>
        <v/>
      </c>
      <c r="D7" s="14">
        <f>IFERROR(('1. Entrada'!D7-'1. Entrada'!J7)/'1. Entrada'!D7,"")</f>
        <v/>
      </c>
      <c r="E7" s="14">
        <f>IFERROR(('1. Entrada'!E7-'1. Entrada'!K7)/'1. Entrada'!E7,"")</f>
        <v/>
      </c>
      <c r="F7" s="14">
        <f>IFERROR(('1. Entrada'!F7-'1. Entrada'!L7)/'1. Entrada'!F7,"")</f>
        <v/>
      </c>
      <c r="G7" s="14">
        <f>IFERROR(('1. Entrada'!G7-'1. Entrada'!M7)/'1. Entrada'!G7,"")</f>
        <v/>
      </c>
      <c r="H7" s="14">
        <f>IFERROR('1. Entrada'!B7/(SUM('1. Entrada'!B7:G7)),"")</f>
        <v/>
      </c>
      <c r="I7" s="14">
        <f>IFERROR('1. Entrada'!C7/(SUM('1. Entrada'!B7:G7)),"")</f>
        <v/>
      </c>
      <c r="J7" s="14">
        <f>IFERROR('1. Entrada'!D7/(SUM('1. Entrada'!B7:G7)),"")</f>
        <v/>
      </c>
      <c r="K7" s="14">
        <f>IFERROR('1. Entrada'!E7/(SUM('1. Entrada'!B7:G7)),"")</f>
        <v/>
      </c>
      <c r="L7" s="14">
        <f>IFERROR('1. Entrada'!F7/(SUM('1. Entrada'!B7:G7)),"")</f>
        <v/>
      </c>
      <c r="M7" s="14">
        <f>IFERROR('1. Entrada'!G7/(SUM('1. Entrada'!B7:G7)),"")</f>
        <v/>
      </c>
      <c r="N7" s="14">
        <f>IFERROR(((SUM('1. Entrada'!B7:G7))-(SUM('1. Entrada'!H7:M7)))/(SUM('1. Entrada'!B7:G7)),"")</f>
        <v/>
      </c>
      <c r="O7" s="14">
        <f>IFERROR('1. Entrada'!N7/((SUM('1. Entrada'!B7:G7))-(SUM('1. Entrada'!H7:M7))),"")</f>
        <v/>
      </c>
      <c r="P7" s="15">
        <f>IFERROR('1. Entrada'!P7/'1. Entrada'!H7*30,"")</f>
        <v/>
      </c>
      <c r="Q7" s="15">
        <f>IFERROR('1. Entrada'!Q7/'1. Entrada'!I7*30,"")</f>
        <v/>
      </c>
      <c r="R7" s="15">
        <f>IFERROR('1. Entrada'!R7/'1. Entrada'!J7*30,"")</f>
        <v/>
      </c>
      <c r="S7" s="15">
        <f>IFERROR('1. Entrada'!S7/'1. Entrada'!K7*30,"")</f>
        <v/>
      </c>
      <c r="T7" s="15">
        <f>IFERROR('1. Entrada'!T7/'1. Entrada'!L7*30,"")</f>
        <v/>
      </c>
      <c r="U7" s="15">
        <f>IFERROR('1. Entrada'!U7/'1. Entrada'!M7*30,"")</f>
        <v/>
      </c>
      <c r="V7" s="15">
        <f>IFERROR((SUM('1. Entrada'!P7:U7))/(SUM('1. Entrada'!H7:M7))*30,"")</f>
        <v/>
      </c>
      <c r="W7" s="16">
        <f>IFERROR('1. Entrada'!O7/(((SUM('1. Entrada'!B7:G7))-(SUM('1. Entrada'!H7:M7)))/(SUM('1. Entrada'!B7:G7))),"")</f>
        <v/>
      </c>
      <c r="X7" s="15">
        <f>IF(OR('1. Entrada'!V7="",'1. Entrada'!W7=""),"",'1. Entrada'!V7-'1. Entrada'!W7)</f>
        <v/>
      </c>
    </row>
    <row r="8">
      <c r="A8" s="10">
        <f>'1. Entrada'!A8</f>
        <v/>
      </c>
      <c r="B8" s="11">
        <f>IFERROR(('1. Entrada'!B8-'1. Entrada'!H8)/'1. Entrada'!B8,"")</f>
        <v/>
      </c>
      <c r="C8" s="11">
        <f>IFERROR(('1. Entrada'!C8-'1. Entrada'!I8)/'1. Entrada'!C8,"")</f>
        <v/>
      </c>
      <c r="D8" s="11">
        <f>IFERROR(('1. Entrada'!D8-'1. Entrada'!J8)/'1. Entrada'!D8,"")</f>
        <v/>
      </c>
      <c r="E8" s="11">
        <f>IFERROR(('1. Entrada'!E8-'1. Entrada'!K8)/'1. Entrada'!E8,"")</f>
        <v/>
      </c>
      <c r="F8" s="11">
        <f>IFERROR(('1. Entrada'!F8-'1. Entrada'!L8)/'1. Entrada'!F8,"")</f>
        <v/>
      </c>
      <c r="G8" s="11">
        <f>IFERROR(('1. Entrada'!G8-'1. Entrada'!M8)/'1. Entrada'!G8,"")</f>
        <v/>
      </c>
      <c r="H8" s="11">
        <f>IFERROR('1. Entrada'!B8/(SUM('1. Entrada'!B8:G8)),"")</f>
        <v/>
      </c>
      <c r="I8" s="11">
        <f>IFERROR('1. Entrada'!C8/(SUM('1. Entrada'!B8:G8)),"")</f>
        <v/>
      </c>
      <c r="J8" s="11">
        <f>IFERROR('1. Entrada'!D8/(SUM('1. Entrada'!B8:G8)),"")</f>
        <v/>
      </c>
      <c r="K8" s="11">
        <f>IFERROR('1. Entrada'!E8/(SUM('1. Entrada'!B8:G8)),"")</f>
        <v/>
      </c>
      <c r="L8" s="11">
        <f>IFERROR('1. Entrada'!F8/(SUM('1. Entrada'!B8:G8)),"")</f>
        <v/>
      </c>
      <c r="M8" s="11">
        <f>IFERROR('1. Entrada'!G8/(SUM('1. Entrada'!B8:G8)),"")</f>
        <v/>
      </c>
      <c r="N8" s="11">
        <f>IFERROR(((SUM('1. Entrada'!B8:G8))-(SUM('1. Entrada'!H8:M8)))/(SUM('1. Entrada'!B8:G8)),"")</f>
        <v/>
      </c>
      <c r="O8" s="11">
        <f>IFERROR('1. Entrada'!N8/((SUM('1. Entrada'!B8:G8))-(SUM('1. Entrada'!H8:M8))),"")</f>
        <v/>
      </c>
      <c r="P8" s="12">
        <f>IFERROR('1. Entrada'!P8/'1. Entrada'!H8*30,"")</f>
        <v/>
      </c>
      <c r="Q8" s="12">
        <f>IFERROR('1. Entrada'!Q8/'1. Entrada'!I8*30,"")</f>
        <v/>
      </c>
      <c r="R8" s="12">
        <f>IFERROR('1. Entrada'!R8/'1. Entrada'!J8*30,"")</f>
        <v/>
      </c>
      <c r="S8" s="12">
        <f>IFERROR('1. Entrada'!S8/'1. Entrada'!K8*30,"")</f>
        <v/>
      </c>
      <c r="T8" s="12">
        <f>IFERROR('1. Entrada'!T8/'1. Entrada'!L8*30,"")</f>
        <v/>
      </c>
      <c r="U8" s="12">
        <f>IFERROR('1. Entrada'!U8/'1. Entrada'!M8*30,"")</f>
        <v/>
      </c>
      <c r="V8" s="12">
        <f>IFERROR((SUM('1. Entrada'!P8:U8))/(SUM('1. Entrada'!H8:M8))*30,"")</f>
        <v/>
      </c>
      <c r="W8" s="13">
        <f>IFERROR('1. Entrada'!O8/(((SUM('1. Entrada'!B8:G8))-(SUM('1. Entrada'!H8:M8)))/(SUM('1. Entrada'!B8:G8))),"")</f>
        <v/>
      </c>
      <c r="X8" s="12">
        <f>IF(OR('1. Entrada'!V8="",'1. Entrada'!W8=""),"",'1. Entrada'!V8-'1. Entrada'!W8)</f>
        <v/>
      </c>
    </row>
    <row r="9">
      <c r="A9" s="8">
        <f>'1. Entrada'!A9</f>
        <v/>
      </c>
      <c r="B9" s="14">
        <f>IFERROR(('1. Entrada'!B9-'1. Entrada'!H9)/'1. Entrada'!B9,"")</f>
        <v/>
      </c>
      <c r="C9" s="14">
        <f>IFERROR(('1. Entrada'!C9-'1. Entrada'!I9)/'1. Entrada'!C9,"")</f>
        <v/>
      </c>
      <c r="D9" s="14">
        <f>IFERROR(('1. Entrada'!D9-'1. Entrada'!J9)/'1. Entrada'!D9,"")</f>
        <v/>
      </c>
      <c r="E9" s="14">
        <f>IFERROR(('1. Entrada'!E9-'1. Entrada'!K9)/'1. Entrada'!E9,"")</f>
        <v/>
      </c>
      <c r="F9" s="14">
        <f>IFERROR(('1. Entrada'!F9-'1. Entrada'!L9)/'1. Entrada'!F9,"")</f>
        <v/>
      </c>
      <c r="G9" s="14">
        <f>IFERROR(('1. Entrada'!G9-'1. Entrada'!M9)/'1. Entrada'!G9,"")</f>
        <v/>
      </c>
      <c r="H9" s="14">
        <f>IFERROR('1. Entrada'!B9/(SUM('1. Entrada'!B9:G9)),"")</f>
        <v/>
      </c>
      <c r="I9" s="14">
        <f>IFERROR('1. Entrada'!C9/(SUM('1. Entrada'!B9:G9)),"")</f>
        <v/>
      </c>
      <c r="J9" s="14">
        <f>IFERROR('1. Entrada'!D9/(SUM('1. Entrada'!B9:G9)),"")</f>
        <v/>
      </c>
      <c r="K9" s="14">
        <f>IFERROR('1. Entrada'!E9/(SUM('1. Entrada'!B9:G9)),"")</f>
        <v/>
      </c>
      <c r="L9" s="14">
        <f>IFERROR('1. Entrada'!F9/(SUM('1. Entrada'!B9:G9)),"")</f>
        <v/>
      </c>
      <c r="M9" s="14">
        <f>IFERROR('1. Entrada'!G9/(SUM('1. Entrada'!B9:G9)),"")</f>
        <v/>
      </c>
      <c r="N9" s="14">
        <f>IFERROR(((SUM('1. Entrada'!B9:G9))-(SUM('1. Entrada'!H9:M9)))/(SUM('1. Entrada'!B9:G9)),"")</f>
        <v/>
      </c>
      <c r="O9" s="14">
        <f>IFERROR('1. Entrada'!N9/((SUM('1. Entrada'!B9:G9))-(SUM('1. Entrada'!H9:M9))),"")</f>
        <v/>
      </c>
      <c r="P9" s="15">
        <f>IFERROR('1. Entrada'!P9/'1. Entrada'!H9*30,"")</f>
        <v/>
      </c>
      <c r="Q9" s="15">
        <f>IFERROR('1. Entrada'!Q9/'1. Entrada'!I9*30,"")</f>
        <v/>
      </c>
      <c r="R9" s="15">
        <f>IFERROR('1. Entrada'!R9/'1. Entrada'!J9*30,"")</f>
        <v/>
      </c>
      <c r="S9" s="15">
        <f>IFERROR('1. Entrada'!S9/'1. Entrada'!K9*30,"")</f>
        <v/>
      </c>
      <c r="T9" s="15">
        <f>IFERROR('1. Entrada'!T9/'1. Entrada'!L9*30,"")</f>
        <v/>
      </c>
      <c r="U9" s="15">
        <f>IFERROR('1. Entrada'!U9/'1. Entrada'!M9*30,"")</f>
        <v/>
      </c>
      <c r="V9" s="15">
        <f>IFERROR((SUM('1. Entrada'!P9:U9))/(SUM('1. Entrada'!H9:M9))*30,"")</f>
        <v/>
      </c>
      <c r="W9" s="16">
        <f>IFERROR('1. Entrada'!O9/(((SUM('1. Entrada'!B9:G9))-(SUM('1. Entrada'!H9:M9)))/(SUM('1. Entrada'!B9:G9))),"")</f>
        <v/>
      </c>
      <c r="X9" s="15">
        <f>IF(OR('1. Entrada'!V9="",'1. Entrada'!W9=""),"",'1. Entrada'!V9-'1. Entrada'!W9)</f>
        <v/>
      </c>
    </row>
    <row r="10">
      <c r="A10" s="10">
        <f>'1. Entrada'!A10</f>
        <v/>
      </c>
      <c r="B10" s="11">
        <f>IFERROR(('1. Entrada'!B10-'1. Entrada'!H10)/'1. Entrada'!B10,"")</f>
        <v/>
      </c>
      <c r="C10" s="11">
        <f>IFERROR(('1. Entrada'!C10-'1. Entrada'!I10)/'1. Entrada'!C10,"")</f>
        <v/>
      </c>
      <c r="D10" s="11">
        <f>IFERROR(('1. Entrada'!D10-'1. Entrada'!J10)/'1. Entrada'!D10,"")</f>
        <v/>
      </c>
      <c r="E10" s="11">
        <f>IFERROR(('1. Entrada'!E10-'1. Entrada'!K10)/'1. Entrada'!E10,"")</f>
        <v/>
      </c>
      <c r="F10" s="11">
        <f>IFERROR(('1. Entrada'!F10-'1. Entrada'!L10)/'1. Entrada'!F10,"")</f>
        <v/>
      </c>
      <c r="G10" s="11">
        <f>IFERROR(('1. Entrada'!G10-'1. Entrada'!M10)/'1. Entrada'!G10,"")</f>
        <v/>
      </c>
      <c r="H10" s="11">
        <f>IFERROR('1. Entrada'!B10/(SUM('1. Entrada'!B10:G10)),"")</f>
        <v/>
      </c>
      <c r="I10" s="11">
        <f>IFERROR('1. Entrada'!C10/(SUM('1. Entrada'!B10:G10)),"")</f>
        <v/>
      </c>
      <c r="J10" s="11">
        <f>IFERROR('1. Entrada'!D10/(SUM('1. Entrada'!B10:G10)),"")</f>
        <v/>
      </c>
      <c r="K10" s="11">
        <f>IFERROR('1. Entrada'!E10/(SUM('1. Entrada'!B10:G10)),"")</f>
        <v/>
      </c>
      <c r="L10" s="11">
        <f>IFERROR('1. Entrada'!F10/(SUM('1. Entrada'!B10:G10)),"")</f>
        <v/>
      </c>
      <c r="M10" s="11">
        <f>IFERROR('1. Entrada'!G10/(SUM('1. Entrada'!B10:G10)),"")</f>
        <v/>
      </c>
      <c r="N10" s="11">
        <f>IFERROR(((SUM('1. Entrada'!B10:G10))-(SUM('1. Entrada'!H10:M10)))/(SUM('1. Entrada'!B10:G10)),"")</f>
        <v/>
      </c>
      <c r="O10" s="11">
        <f>IFERROR('1. Entrada'!N10/((SUM('1. Entrada'!B10:G10))-(SUM('1. Entrada'!H10:M10))),"")</f>
        <v/>
      </c>
      <c r="P10" s="12">
        <f>IFERROR('1. Entrada'!P10/'1. Entrada'!H10*30,"")</f>
        <v/>
      </c>
      <c r="Q10" s="12">
        <f>IFERROR('1. Entrada'!Q10/'1. Entrada'!I10*30,"")</f>
        <v/>
      </c>
      <c r="R10" s="12">
        <f>IFERROR('1. Entrada'!R10/'1. Entrada'!J10*30,"")</f>
        <v/>
      </c>
      <c r="S10" s="12">
        <f>IFERROR('1. Entrada'!S10/'1. Entrada'!K10*30,"")</f>
        <v/>
      </c>
      <c r="T10" s="12">
        <f>IFERROR('1. Entrada'!T10/'1. Entrada'!L10*30,"")</f>
        <v/>
      </c>
      <c r="U10" s="12">
        <f>IFERROR('1. Entrada'!U10/'1. Entrada'!M10*30,"")</f>
        <v/>
      </c>
      <c r="V10" s="12">
        <f>IFERROR((SUM('1. Entrada'!P10:U10))/(SUM('1. Entrada'!H10:M10))*30,"")</f>
        <v/>
      </c>
      <c r="W10" s="13">
        <f>IFERROR('1. Entrada'!O10/(((SUM('1. Entrada'!B10:G10))-(SUM('1. Entrada'!H10:M10)))/(SUM('1. Entrada'!B10:G10))),"")</f>
        <v/>
      </c>
      <c r="X10" s="12">
        <f>IF(OR('1. Entrada'!V10="",'1. Entrada'!W10=""),"",'1. Entrada'!V10-'1. Entrada'!W10)</f>
        <v/>
      </c>
    </row>
    <row r="11">
      <c r="A11" s="8">
        <f>'1. Entrada'!A11</f>
        <v/>
      </c>
      <c r="B11" s="14">
        <f>IFERROR(('1. Entrada'!B11-'1. Entrada'!H11)/'1. Entrada'!B11,"")</f>
        <v/>
      </c>
      <c r="C11" s="14">
        <f>IFERROR(('1. Entrada'!C11-'1. Entrada'!I11)/'1. Entrada'!C11,"")</f>
        <v/>
      </c>
      <c r="D11" s="14">
        <f>IFERROR(('1. Entrada'!D11-'1. Entrada'!J11)/'1. Entrada'!D11,"")</f>
        <v/>
      </c>
      <c r="E11" s="14">
        <f>IFERROR(('1. Entrada'!E11-'1. Entrada'!K11)/'1. Entrada'!E11,"")</f>
        <v/>
      </c>
      <c r="F11" s="14">
        <f>IFERROR(('1. Entrada'!F11-'1. Entrada'!L11)/'1. Entrada'!F11,"")</f>
        <v/>
      </c>
      <c r="G11" s="14">
        <f>IFERROR(('1. Entrada'!G11-'1. Entrada'!M11)/'1. Entrada'!G11,"")</f>
        <v/>
      </c>
      <c r="H11" s="14">
        <f>IFERROR('1. Entrada'!B11/(SUM('1. Entrada'!B11:G11)),"")</f>
        <v/>
      </c>
      <c r="I11" s="14">
        <f>IFERROR('1. Entrada'!C11/(SUM('1. Entrada'!B11:G11)),"")</f>
        <v/>
      </c>
      <c r="J11" s="14">
        <f>IFERROR('1. Entrada'!D11/(SUM('1. Entrada'!B11:G11)),"")</f>
        <v/>
      </c>
      <c r="K11" s="14">
        <f>IFERROR('1. Entrada'!E11/(SUM('1. Entrada'!B11:G11)),"")</f>
        <v/>
      </c>
      <c r="L11" s="14">
        <f>IFERROR('1. Entrada'!F11/(SUM('1. Entrada'!B11:G11)),"")</f>
        <v/>
      </c>
      <c r="M11" s="14">
        <f>IFERROR('1. Entrada'!G11/(SUM('1. Entrada'!B11:G11)),"")</f>
        <v/>
      </c>
      <c r="N11" s="14">
        <f>IFERROR(((SUM('1. Entrada'!B11:G11))-(SUM('1. Entrada'!H11:M11)))/(SUM('1. Entrada'!B11:G11)),"")</f>
        <v/>
      </c>
      <c r="O11" s="14">
        <f>IFERROR('1. Entrada'!N11/((SUM('1. Entrada'!B11:G11))-(SUM('1. Entrada'!H11:M11))),"")</f>
        <v/>
      </c>
      <c r="P11" s="15">
        <f>IFERROR('1. Entrada'!P11/'1. Entrada'!H11*30,"")</f>
        <v/>
      </c>
      <c r="Q11" s="15">
        <f>IFERROR('1. Entrada'!Q11/'1. Entrada'!I11*30,"")</f>
        <v/>
      </c>
      <c r="R11" s="15">
        <f>IFERROR('1. Entrada'!R11/'1. Entrada'!J11*30,"")</f>
        <v/>
      </c>
      <c r="S11" s="15">
        <f>IFERROR('1. Entrada'!S11/'1. Entrada'!K11*30,"")</f>
        <v/>
      </c>
      <c r="T11" s="15">
        <f>IFERROR('1. Entrada'!T11/'1. Entrada'!L11*30,"")</f>
        <v/>
      </c>
      <c r="U11" s="15">
        <f>IFERROR('1. Entrada'!U11/'1. Entrada'!M11*30,"")</f>
        <v/>
      </c>
      <c r="V11" s="15">
        <f>IFERROR((SUM('1. Entrada'!P11:U11))/(SUM('1. Entrada'!H11:M11))*30,"")</f>
        <v/>
      </c>
      <c r="W11" s="16">
        <f>IFERROR('1. Entrada'!O11/(((SUM('1. Entrada'!B11:G11))-(SUM('1. Entrada'!H11:M11)))/(SUM('1. Entrada'!B11:G11))),"")</f>
        <v/>
      </c>
      <c r="X11" s="15">
        <f>IF(OR('1. Entrada'!V11="",'1. Entrada'!W11=""),"",'1. Entrada'!V11-'1. Entrada'!W11)</f>
        <v/>
      </c>
    </row>
    <row r="12">
      <c r="A12" s="10">
        <f>'1. Entrada'!A12</f>
        <v/>
      </c>
      <c r="B12" s="11">
        <f>IFERROR(('1. Entrada'!B12-'1. Entrada'!H12)/'1. Entrada'!B12,"")</f>
        <v/>
      </c>
      <c r="C12" s="11">
        <f>IFERROR(('1. Entrada'!C12-'1. Entrada'!I12)/'1. Entrada'!C12,"")</f>
        <v/>
      </c>
      <c r="D12" s="11">
        <f>IFERROR(('1. Entrada'!D12-'1. Entrada'!J12)/'1. Entrada'!D12,"")</f>
        <v/>
      </c>
      <c r="E12" s="11">
        <f>IFERROR(('1. Entrada'!E12-'1. Entrada'!K12)/'1. Entrada'!E12,"")</f>
        <v/>
      </c>
      <c r="F12" s="11">
        <f>IFERROR(('1. Entrada'!F12-'1. Entrada'!L12)/'1. Entrada'!F12,"")</f>
        <v/>
      </c>
      <c r="G12" s="11">
        <f>IFERROR(('1. Entrada'!G12-'1. Entrada'!M12)/'1. Entrada'!G12,"")</f>
        <v/>
      </c>
      <c r="H12" s="11">
        <f>IFERROR('1. Entrada'!B12/(SUM('1. Entrada'!B12:G12)),"")</f>
        <v/>
      </c>
      <c r="I12" s="11">
        <f>IFERROR('1. Entrada'!C12/(SUM('1. Entrada'!B12:G12)),"")</f>
        <v/>
      </c>
      <c r="J12" s="11">
        <f>IFERROR('1. Entrada'!D12/(SUM('1. Entrada'!B12:G12)),"")</f>
        <v/>
      </c>
      <c r="K12" s="11">
        <f>IFERROR('1. Entrada'!E12/(SUM('1. Entrada'!B12:G12)),"")</f>
        <v/>
      </c>
      <c r="L12" s="11">
        <f>IFERROR('1. Entrada'!F12/(SUM('1. Entrada'!B12:G12)),"")</f>
        <v/>
      </c>
      <c r="M12" s="11">
        <f>IFERROR('1. Entrada'!G12/(SUM('1. Entrada'!B12:G12)),"")</f>
        <v/>
      </c>
      <c r="N12" s="11">
        <f>IFERROR(((SUM('1. Entrada'!B12:G12))-(SUM('1. Entrada'!H12:M12)))/(SUM('1. Entrada'!B12:G12)),"")</f>
        <v/>
      </c>
      <c r="O12" s="11">
        <f>IFERROR('1. Entrada'!N12/((SUM('1. Entrada'!B12:G12))-(SUM('1. Entrada'!H12:M12))),"")</f>
        <v/>
      </c>
      <c r="P12" s="12">
        <f>IFERROR('1. Entrada'!P12/'1. Entrada'!H12*30,"")</f>
        <v/>
      </c>
      <c r="Q12" s="12">
        <f>IFERROR('1. Entrada'!Q12/'1. Entrada'!I12*30,"")</f>
        <v/>
      </c>
      <c r="R12" s="12">
        <f>IFERROR('1. Entrada'!R12/'1. Entrada'!J12*30,"")</f>
        <v/>
      </c>
      <c r="S12" s="12">
        <f>IFERROR('1. Entrada'!S12/'1. Entrada'!K12*30,"")</f>
        <v/>
      </c>
      <c r="T12" s="12">
        <f>IFERROR('1. Entrada'!T12/'1. Entrada'!L12*30,"")</f>
        <v/>
      </c>
      <c r="U12" s="12">
        <f>IFERROR('1. Entrada'!U12/'1. Entrada'!M12*30,"")</f>
        <v/>
      </c>
      <c r="V12" s="12">
        <f>IFERROR((SUM('1. Entrada'!P12:U12))/(SUM('1. Entrada'!H12:M12))*30,"")</f>
        <v/>
      </c>
      <c r="W12" s="13">
        <f>IFERROR('1. Entrada'!O12/(((SUM('1. Entrada'!B12:G12))-(SUM('1. Entrada'!H12:M12)))/(SUM('1. Entrada'!B12:G12))),"")</f>
        <v/>
      </c>
      <c r="X12" s="12">
        <f>IF(OR('1. Entrada'!V12="",'1. Entrada'!W12=""),"",'1. Entrada'!V12-'1. Entrada'!W12)</f>
        <v/>
      </c>
    </row>
    <row r="13">
      <c r="A13" s="8">
        <f>'1. Entrada'!A13</f>
        <v/>
      </c>
      <c r="B13" s="14">
        <f>IFERROR(('1. Entrada'!B13-'1. Entrada'!H13)/'1. Entrada'!B13,"")</f>
        <v/>
      </c>
      <c r="C13" s="14">
        <f>IFERROR(('1. Entrada'!C13-'1. Entrada'!I13)/'1. Entrada'!C13,"")</f>
        <v/>
      </c>
      <c r="D13" s="14">
        <f>IFERROR(('1. Entrada'!D13-'1. Entrada'!J13)/'1. Entrada'!D13,"")</f>
        <v/>
      </c>
      <c r="E13" s="14">
        <f>IFERROR(('1. Entrada'!E13-'1. Entrada'!K13)/'1. Entrada'!E13,"")</f>
        <v/>
      </c>
      <c r="F13" s="14">
        <f>IFERROR(('1. Entrada'!F13-'1. Entrada'!L13)/'1. Entrada'!F13,"")</f>
        <v/>
      </c>
      <c r="G13" s="14">
        <f>IFERROR(('1. Entrada'!G13-'1. Entrada'!M13)/'1. Entrada'!G13,"")</f>
        <v/>
      </c>
      <c r="H13" s="14">
        <f>IFERROR('1. Entrada'!B13/(SUM('1. Entrada'!B13:G13)),"")</f>
        <v/>
      </c>
      <c r="I13" s="14">
        <f>IFERROR('1. Entrada'!C13/(SUM('1. Entrada'!B13:G13)),"")</f>
        <v/>
      </c>
      <c r="J13" s="14">
        <f>IFERROR('1. Entrada'!D13/(SUM('1. Entrada'!B13:G13)),"")</f>
        <v/>
      </c>
      <c r="K13" s="14">
        <f>IFERROR('1. Entrada'!E13/(SUM('1. Entrada'!B13:G13)),"")</f>
        <v/>
      </c>
      <c r="L13" s="14">
        <f>IFERROR('1. Entrada'!F13/(SUM('1. Entrada'!B13:G13)),"")</f>
        <v/>
      </c>
      <c r="M13" s="14">
        <f>IFERROR('1. Entrada'!G13/(SUM('1. Entrada'!B13:G13)),"")</f>
        <v/>
      </c>
      <c r="N13" s="14">
        <f>IFERROR(((SUM('1. Entrada'!B13:G13))-(SUM('1. Entrada'!H13:M13)))/(SUM('1. Entrada'!B13:G13)),"")</f>
        <v/>
      </c>
      <c r="O13" s="14">
        <f>IFERROR('1. Entrada'!N13/((SUM('1. Entrada'!B13:G13))-(SUM('1. Entrada'!H13:M13))),"")</f>
        <v/>
      </c>
      <c r="P13" s="15">
        <f>IFERROR('1. Entrada'!P13/'1. Entrada'!H13*30,"")</f>
        <v/>
      </c>
      <c r="Q13" s="15">
        <f>IFERROR('1. Entrada'!Q13/'1. Entrada'!I13*30,"")</f>
        <v/>
      </c>
      <c r="R13" s="15">
        <f>IFERROR('1. Entrada'!R13/'1. Entrada'!J13*30,"")</f>
        <v/>
      </c>
      <c r="S13" s="15">
        <f>IFERROR('1. Entrada'!S13/'1. Entrada'!K13*30,"")</f>
        <v/>
      </c>
      <c r="T13" s="15">
        <f>IFERROR('1. Entrada'!T13/'1. Entrada'!L13*30,"")</f>
        <v/>
      </c>
      <c r="U13" s="15">
        <f>IFERROR('1. Entrada'!U13/'1. Entrada'!M13*30,"")</f>
        <v/>
      </c>
      <c r="V13" s="15">
        <f>IFERROR((SUM('1. Entrada'!P13:U13))/(SUM('1. Entrada'!H13:M13))*30,"")</f>
        <v/>
      </c>
      <c r="W13" s="16">
        <f>IFERROR('1. Entrada'!O13/(((SUM('1. Entrada'!B13:G13))-(SUM('1. Entrada'!H13:M13)))/(SUM('1. Entrada'!B13:G13))),"")</f>
        <v/>
      </c>
      <c r="X13" s="15">
        <f>IF(OR('1. Entrada'!V13="",'1. Entrada'!W13=""),"",'1. Entrada'!V13-'1. Entrada'!W13)</f>
        <v/>
      </c>
    </row>
    <row r="14">
      <c r="A14" s="10">
        <f>'1. Entrada'!A14</f>
        <v/>
      </c>
      <c r="B14" s="11">
        <f>IFERROR(('1. Entrada'!B14-'1. Entrada'!H14)/'1. Entrada'!B14,"")</f>
        <v/>
      </c>
      <c r="C14" s="11">
        <f>IFERROR(('1. Entrada'!C14-'1. Entrada'!I14)/'1. Entrada'!C14,"")</f>
        <v/>
      </c>
      <c r="D14" s="11">
        <f>IFERROR(('1. Entrada'!D14-'1. Entrada'!J14)/'1. Entrada'!D14,"")</f>
        <v/>
      </c>
      <c r="E14" s="11">
        <f>IFERROR(('1. Entrada'!E14-'1. Entrada'!K14)/'1. Entrada'!E14,"")</f>
        <v/>
      </c>
      <c r="F14" s="11">
        <f>IFERROR(('1. Entrada'!F14-'1. Entrada'!L14)/'1. Entrada'!F14,"")</f>
        <v/>
      </c>
      <c r="G14" s="11">
        <f>IFERROR(('1. Entrada'!G14-'1. Entrada'!M14)/'1. Entrada'!G14,"")</f>
        <v/>
      </c>
      <c r="H14" s="11">
        <f>IFERROR('1. Entrada'!B14/(SUM('1. Entrada'!B14:G14)),"")</f>
        <v/>
      </c>
      <c r="I14" s="11">
        <f>IFERROR('1. Entrada'!C14/(SUM('1. Entrada'!B14:G14)),"")</f>
        <v/>
      </c>
      <c r="J14" s="11">
        <f>IFERROR('1. Entrada'!D14/(SUM('1. Entrada'!B14:G14)),"")</f>
        <v/>
      </c>
      <c r="K14" s="11">
        <f>IFERROR('1. Entrada'!E14/(SUM('1. Entrada'!B14:G14)),"")</f>
        <v/>
      </c>
      <c r="L14" s="11">
        <f>IFERROR('1. Entrada'!F14/(SUM('1. Entrada'!B14:G14)),"")</f>
        <v/>
      </c>
      <c r="M14" s="11">
        <f>IFERROR('1. Entrada'!G14/(SUM('1. Entrada'!B14:G14)),"")</f>
        <v/>
      </c>
      <c r="N14" s="11">
        <f>IFERROR(((SUM('1. Entrada'!B14:G14))-(SUM('1. Entrada'!H14:M14)))/(SUM('1. Entrada'!B14:G14)),"")</f>
        <v/>
      </c>
      <c r="O14" s="11">
        <f>IFERROR('1. Entrada'!N14/((SUM('1. Entrada'!B14:G14))-(SUM('1. Entrada'!H14:M14))),"")</f>
        <v/>
      </c>
      <c r="P14" s="12">
        <f>IFERROR('1. Entrada'!P14/'1. Entrada'!H14*30,"")</f>
        <v/>
      </c>
      <c r="Q14" s="12">
        <f>IFERROR('1. Entrada'!Q14/'1. Entrada'!I14*30,"")</f>
        <v/>
      </c>
      <c r="R14" s="12">
        <f>IFERROR('1. Entrada'!R14/'1. Entrada'!J14*30,"")</f>
        <v/>
      </c>
      <c r="S14" s="12">
        <f>IFERROR('1. Entrada'!S14/'1. Entrada'!K14*30,"")</f>
        <v/>
      </c>
      <c r="T14" s="12">
        <f>IFERROR('1. Entrada'!T14/'1. Entrada'!L14*30,"")</f>
        <v/>
      </c>
      <c r="U14" s="12">
        <f>IFERROR('1. Entrada'!U14/'1. Entrada'!M14*30,"")</f>
        <v/>
      </c>
      <c r="V14" s="12">
        <f>IFERROR((SUM('1. Entrada'!P14:U14))/(SUM('1. Entrada'!H14:M14))*30,"")</f>
        <v/>
      </c>
      <c r="W14" s="13">
        <f>IFERROR('1. Entrada'!O14/(((SUM('1. Entrada'!B14:G14))-(SUM('1. Entrada'!H14:M14)))/(SUM('1. Entrada'!B14:G14))),"")</f>
        <v/>
      </c>
      <c r="X14" s="12">
        <f>IF(OR('1. Entrada'!V14="",'1. Entrada'!W14=""),"",'1. Entrada'!V14-'1. Entrada'!W14)</f>
        <v/>
      </c>
    </row>
    <row r="15">
      <c r="A15" s="8">
        <f>'1. Entrada'!A15</f>
        <v/>
      </c>
      <c r="B15" s="14">
        <f>IFERROR(('1. Entrada'!B15-'1. Entrada'!H15)/'1. Entrada'!B15,"")</f>
        <v/>
      </c>
      <c r="C15" s="14">
        <f>IFERROR(('1. Entrada'!C15-'1. Entrada'!I15)/'1. Entrada'!C15,"")</f>
        <v/>
      </c>
      <c r="D15" s="14">
        <f>IFERROR(('1. Entrada'!D15-'1. Entrada'!J15)/'1. Entrada'!D15,"")</f>
        <v/>
      </c>
      <c r="E15" s="14">
        <f>IFERROR(('1. Entrada'!E15-'1. Entrada'!K15)/'1. Entrada'!E15,"")</f>
        <v/>
      </c>
      <c r="F15" s="14">
        <f>IFERROR(('1. Entrada'!F15-'1. Entrada'!L15)/'1. Entrada'!F15,"")</f>
        <v/>
      </c>
      <c r="G15" s="14">
        <f>IFERROR(('1. Entrada'!G15-'1. Entrada'!M15)/'1. Entrada'!G15,"")</f>
        <v/>
      </c>
      <c r="H15" s="14">
        <f>IFERROR('1. Entrada'!B15/(SUM('1. Entrada'!B15:G15)),"")</f>
        <v/>
      </c>
      <c r="I15" s="14">
        <f>IFERROR('1. Entrada'!C15/(SUM('1. Entrada'!B15:G15)),"")</f>
        <v/>
      </c>
      <c r="J15" s="14">
        <f>IFERROR('1. Entrada'!D15/(SUM('1. Entrada'!B15:G15)),"")</f>
        <v/>
      </c>
      <c r="K15" s="14">
        <f>IFERROR('1. Entrada'!E15/(SUM('1. Entrada'!B15:G15)),"")</f>
        <v/>
      </c>
      <c r="L15" s="14">
        <f>IFERROR('1. Entrada'!F15/(SUM('1. Entrada'!B15:G15)),"")</f>
        <v/>
      </c>
      <c r="M15" s="14">
        <f>IFERROR('1. Entrada'!G15/(SUM('1. Entrada'!B15:G15)),"")</f>
        <v/>
      </c>
      <c r="N15" s="14">
        <f>IFERROR(((SUM('1. Entrada'!B15:G15))-(SUM('1. Entrada'!H15:M15)))/(SUM('1. Entrada'!B15:G15)),"")</f>
        <v/>
      </c>
      <c r="O15" s="14">
        <f>IFERROR('1. Entrada'!N15/((SUM('1. Entrada'!B15:G15))-(SUM('1. Entrada'!H15:M15))),"")</f>
        <v/>
      </c>
      <c r="P15" s="15">
        <f>IFERROR('1. Entrada'!P15/'1. Entrada'!H15*30,"")</f>
        <v/>
      </c>
      <c r="Q15" s="15">
        <f>IFERROR('1. Entrada'!Q15/'1. Entrada'!I15*30,"")</f>
        <v/>
      </c>
      <c r="R15" s="15">
        <f>IFERROR('1. Entrada'!R15/'1. Entrada'!J15*30,"")</f>
        <v/>
      </c>
      <c r="S15" s="15">
        <f>IFERROR('1. Entrada'!S15/'1. Entrada'!K15*30,"")</f>
        <v/>
      </c>
      <c r="T15" s="15">
        <f>IFERROR('1. Entrada'!T15/'1. Entrada'!L15*30,"")</f>
        <v/>
      </c>
      <c r="U15" s="15">
        <f>IFERROR('1. Entrada'!U15/'1. Entrada'!M15*30,"")</f>
        <v/>
      </c>
      <c r="V15" s="15">
        <f>IFERROR((SUM('1. Entrada'!P15:U15))/(SUM('1. Entrada'!H15:M15))*30,"")</f>
        <v/>
      </c>
      <c r="W15" s="16">
        <f>IFERROR('1. Entrada'!O15/(((SUM('1. Entrada'!B15:G15))-(SUM('1. Entrada'!H15:M15)))/(SUM('1. Entrada'!B15:G15))),"")</f>
        <v/>
      </c>
      <c r="X15" s="15">
        <f>IF(OR('1. Entrada'!V15="",'1. Entrada'!W15=""),"",'1. Entrada'!V15-'1. Entrada'!W15)</f>
        <v/>
      </c>
    </row>
    <row r="16">
      <c r="A16" s="10">
        <f>'1. Entrada'!A16</f>
        <v/>
      </c>
      <c r="B16" s="11">
        <f>IFERROR(('1. Entrada'!B16-'1. Entrada'!H16)/'1. Entrada'!B16,"")</f>
        <v/>
      </c>
      <c r="C16" s="11">
        <f>IFERROR(('1. Entrada'!C16-'1. Entrada'!I16)/'1. Entrada'!C16,"")</f>
        <v/>
      </c>
      <c r="D16" s="11">
        <f>IFERROR(('1. Entrada'!D16-'1. Entrada'!J16)/'1. Entrada'!D16,"")</f>
        <v/>
      </c>
      <c r="E16" s="11">
        <f>IFERROR(('1. Entrada'!E16-'1. Entrada'!K16)/'1. Entrada'!E16,"")</f>
        <v/>
      </c>
      <c r="F16" s="11">
        <f>IFERROR(('1. Entrada'!F16-'1. Entrada'!L16)/'1. Entrada'!F16,"")</f>
        <v/>
      </c>
      <c r="G16" s="11">
        <f>IFERROR(('1. Entrada'!G16-'1. Entrada'!M16)/'1. Entrada'!G16,"")</f>
        <v/>
      </c>
      <c r="H16" s="11">
        <f>IFERROR('1. Entrada'!B16/(SUM('1. Entrada'!B16:G16)),"")</f>
        <v/>
      </c>
      <c r="I16" s="11">
        <f>IFERROR('1. Entrada'!C16/(SUM('1. Entrada'!B16:G16)),"")</f>
        <v/>
      </c>
      <c r="J16" s="11">
        <f>IFERROR('1. Entrada'!D16/(SUM('1. Entrada'!B16:G16)),"")</f>
        <v/>
      </c>
      <c r="K16" s="11">
        <f>IFERROR('1. Entrada'!E16/(SUM('1. Entrada'!B16:G16)),"")</f>
        <v/>
      </c>
      <c r="L16" s="11">
        <f>IFERROR('1. Entrada'!F16/(SUM('1. Entrada'!B16:G16)),"")</f>
        <v/>
      </c>
      <c r="M16" s="11">
        <f>IFERROR('1. Entrada'!G16/(SUM('1. Entrada'!B16:G16)),"")</f>
        <v/>
      </c>
      <c r="N16" s="11">
        <f>IFERROR(((SUM('1. Entrada'!B16:G16))-(SUM('1. Entrada'!H16:M16)))/(SUM('1. Entrada'!B16:G16)),"")</f>
        <v/>
      </c>
      <c r="O16" s="11">
        <f>IFERROR('1. Entrada'!N16/((SUM('1. Entrada'!B16:G16))-(SUM('1. Entrada'!H16:M16))),"")</f>
        <v/>
      </c>
      <c r="P16" s="12">
        <f>IFERROR('1. Entrada'!P16/'1. Entrada'!H16*30,"")</f>
        <v/>
      </c>
      <c r="Q16" s="12">
        <f>IFERROR('1. Entrada'!Q16/'1. Entrada'!I16*30,"")</f>
        <v/>
      </c>
      <c r="R16" s="12">
        <f>IFERROR('1. Entrada'!R16/'1. Entrada'!J16*30,"")</f>
        <v/>
      </c>
      <c r="S16" s="12">
        <f>IFERROR('1. Entrada'!S16/'1. Entrada'!K16*30,"")</f>
        <v/>
      </c>
      <c r="T16" s="12">
        <f>IFERROR('1. Entrada'!T16/'1. Entrada'!L16*30,"")</f>
        <v/>
      </c>
      <c r="U16" s="12">
        <f>IFERROR('1. Entrada'!U16/'1. Entrada'!M16*30,"")</f>
        <v/>
      </c>
      <c r="V16" s="12">
        <f>IFERROR((SUM('1. Entrada'!P16:U16))/(SUM('1. Entrada'!H16:M16))*30,"")</f>
        <v/>
      </c>
      <c r="W16" s="13">
        <f>IFERROR('1. Entrada'!O16/(((SUM('1. Entrada'!B16:G16))-(SUM('1. Entrada'!H16:M16)))/(SUM('1. Entrada'!B16:G16))),"")</f>
        <v/>
      </c>
      <c r="X16" s="12">
        <f>IF(OR('1. Entrada'!V16="",'1. Entrada'!W16=""),"",'1. Entrada'!V16-'1. Entrada'!W16)</f>
        <v/>
      </c>
    </row>
    <row r="17">
      <c r="A17" s="8">
        <f>'1. Entrada'!A17</f>
        <v/>
      </c>
      <c r="B17" s="14">
        <f>IFERROR(('1. Entrada'!B17-'1. Entrada'!H17)/'1. Entrada'!B17,"")</f>
        <v/>
      </c>
      <c r="C17" s="14">
        <f>IFERROR(('1. Entrada'!C17-'1. Entrada'!I17)/'1. Entrada'!C17,"")</f>
        <v/>
      </c>
      <c r="D17" s="14">
        <f>IFERROR(('1. Entrada'!D17-'1. Entrada'!J17)/'1. Entrada'!D17,"")</f>
        <v/>
      </c>
      <c r="E17" s="14">
        <f>IFERROR(('1. Entrada'!E17-'1. Entrada'!K17)/'1. Entrada'!E17,"")</f>
        <v/>
      </c>
      <c r="F17" s="14">
        <f>IFERROR(('1. Entrada'!F17-'1. Entrada'!L17)/'1. Entrada'!F17,"")</f>
        <v/>
      </c>
      <c r="G17" s="14">
        <f>IFERROR(('1. Entrada'!G17-'1. Entrada'!M17)/'1. Entrada'!G17,"")</f>
        <v/>
      </c>
      <c r="H17" s="14">
        <f>IFERROR('1. Entrada'!B17/(SUM('1. Entrada'!B17:G17)),"")</f>
        <v/>
      </c>
      <c r="I17" s="14">
        <f>IFERROR('1. Entrada'!C17/(SUM('1. Entrada'!B17:G17)),"")</f>
        <v/>
      </c>
      <c r="J17" s="14">
        <f>IFERROR('1. Entrada'!D17/(SUM('1. Entrada'!B17:G17)),"")</f>
        <v/>
      </c>
      <c r="K17" s="14">
        <f>IFERROR('1. Entrada'!E17/(SUM('1. Entrada'!B17:G17)),"")</f>
        <v/>
      </c>
      <c r="L17" s="14">
        <f>IFERROR('1. Entrada'!F17/(SUM('1. Entrada'!B17:G17)),"")</f>
        <v/>
      </c>
      <c r="M17" s="14">
        <f>IFERROR('1. Entrada'!G17/(SUM('1. Entrada'!B17:G17)),"")</f>
        <v/>
      </c>
      <c r="N17" s="14">
        <f>IFERROR(((SUM('1. Entrada'!B17:G17))-(SUM('1. Entrada'!H17:M17)))/(SUM('1. Entrada'!B17:G17)),"")</f>
        <v/>
      </c>
      <c r="O17" s="14">
        <f>IFERROR('1. Entrada'!N17/((SUM('1. Entrada'!B17:G17))-(SUM('1. Entrada'!H17:M17))),"")</f>
        <v/>
      </c>
      <c r="P17" s="15">
        <f>IFERROR('1. Entrada'!P17/'1. Entrada'!H17*30,"")</f>
        <v/>
      </c>
      <c r="Q17" s="15">
        <f>IFERROR('1. Entrada'!Q17/'1. Entrada'!I17*30,"")</f>
        <v/>
      </c>
      <c r="R17" s="15">
        <f>IFERROR('1. Entrada'!R17/'1. Entrada'!J17*30,"")</f>
        <v/>
      </c>
      <c r="S17" s="15">
        <f>IFERROR('1. Entrada'!S17/'1. Entrada'!K17*30,"")</f>
        <v/>
      </c>
      <c r="T17" s="15">
        <f>IFERROR('1. Entrada'!T17/'1. Entrada'!L17*30,"")</f>
        <v/>
      </c>
      <c r="U17" s="15">
        <f>IFERROR('1. Entrada'!U17/'1. Entrada'!M17*30,"")</f>
        <v/>
      </c>
      <c r="V17" s="15">
        <f>IFERROR((SUM('1. Entrada'!P17:U17))/(SUM('1. Entrada'!H17:M17))*30,"")</f>
        <v/>
      </c>
      <c r="W17" s="16">
        <f>IFERROR('1. Entrada'!O17/(((SUM('1. Entrada'!B17:G17))-(SUM('1. Entrada'!H17:M17)))/(SUM('1. Entrada'!B17:G17))),"")</f>
        <v/>
      </c>
      <c r="X17" s="15">
        <f>IF(OR('1. Entrada'!V17="",'1. Entrada'!W17=""),"",'1. Entrada'!V17-'1. Entrada'!W17)</f>
        <v/>
      </c>
    </row>
    <row r="19" ht="30" customHeight="1">
      <c r="A19" s="9" t="inlineStr">
        <is>
          <t>Peso y cobertura de stock no llevan semáforo: no hay un "mejor" único (una familia puede pesar poco a propósito, y algo de cobertura es sano). Léelos en la hoja "4. Cómo se lee".</t>
        </is>
      </c>
    </row>
  </sheetData>
  <mergeCells count="8">
    <mergeCell ref="P4:U4"/>
    <mergeCell ref="A2:X2"/>
    <mergeCell ref="H4:M4"/>
    <mergeCell ref="B4:G4"/>
    <mergeCell ref="A19:X19"/>
    <mergeCell ref="V4:X4"/>
    <mergeCell ref="A1:X1"/>
    <mergeCell ref="N4:O4"/>
  </mergeCells>
  <conditionalFormatting sqref="B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: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D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:E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:G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:N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:O1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6:W1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6:X1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tabSelected="0" workbookViewId="0">
      <selection activeCell="A1" sqref="A1"/>
    </sheetView>
  </sheetViews>
  <sheetFormatPr baseColWidth="8" defaultRowHeight="15"/>
  <sheetData>
    <row r="1" ht="24" customHeight="1">
      <c r="A1" s="1" t="inlineStr">
        <is>
          <t>TENDENCIA · LOS CINCO RATIOS MES A MES</t>
        </is>
      </c>
    </row>
    <row r="2" ht="16" customHeight="1">
      <c r="A2" s="2" t="inlineStr">
        <is>
          <t>Se dibuja solo desde "2. Ratios". Un ratio suelto no dice gran cosa; tres meses seguidos dicen casi todo. Eje izquierdo: porcentajes y días. Eje derecho: punto muerto en euros.</t>
        </is>
      </c>
    </row>
    <row r="3" ht="8" customHeight="1"/>
    <row r="27" ht="44" customHeight="1">
      <c r="A27" s="9" t="inlineStr">
        <is>
          <t>Qué es cada línea: margen bruto global (%) · coste de personal sobre margen bruto (%) · cobertura de stock global (días) · desfase de caja (días) · punto muerto del mes (€, eje derecho). El detalle por familia de margen y cobertura está en la hoja "2. Ratios": no cabe en un solo gráfico legible junto a los otros tres ratios.</t>
        </is>
      </c>
    </row>
  </sheetData>
  <mergeCells count="3">
    <mergeCell ref="A2:L2"/>
    <mergeCell ref="A1:L1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4" customHeight="1">
      <c r="A1" s="1" t="inlineStr">
        <is>
          <t>CÓMO SE LEE CADA RATIO</t>
        </is>
      </c>
    </row>
    <row r="2" ht="16" customHeight="1">
      <c r="A2" s="2" t="inlineStr">
        <is>
          <t>Compara tu farmacia consigo misma, nunca con un "sector" que nadie audita. Cada bloque dice qué mirar y qué decisión concreta abre.</t>
        </is>
      </c>
    </row>
    <row r="3" ht="8" customHeight="1"/>
    <row r="4" ht="24" customHeight="1">
      <c r="B4" s="17" t="inlineStr">
        <is>
          <t>Regla general: nada de benchmarks de fuera</t>
        </is>
      </c>
    </row>
    <row r="5" ht="41" customHeight="1">
      <c r="B5" s="18" t="inlineStr">
        <is>
          <t>Ningún número de esta hoja se compara con una media de sector, porque nadie la audita y varía por tamaño, ubicación y mezcla de familias. El semáforo de "2. Ratios" compara cada mes con tus propios últimos doce: verde es mejor que tus otros meses, rojo es peor.</t>
        </is>
      </c>
    </row>
    <row r="6" ht="28" customHeight="1">
      <c r="B6" s="18" t="inlineStr">
        <is>
          <t>Con menos de 3-4 meses cargados el semáforo no dice mucho todavía. Empieza a ser útil a partir del tercer o cuarto mes, cuando ya hay con qué compararse.</t>
        </is>
      </c>
    </row>
    <row r="8" ht="24" customHeight="1">
      <c r="B8" s="17" t="inlineStr">
        <is>
          <t>1. Margen bruto por familia y su peso</t>
        </is>
      </c>
    </row>
    <row r="9" ht="41" customHeight="1">
      <c r="B9" s="18" t="inlineStr">
        <is>
          <t>Qué mirar: una familia cuyo peso en ventas se mantiene o sube mientras su margen cae respecto a tus propios meses anteriores. O una familia pequeña con margen alto a la que no le dedicas mostrador ni acción comercial desde hace tiempo.</t>
        </is>
      </c>
    </row>
    <row r="10" ht="28" customHeight="1">
      <c r="B10" s="18" t="inlineStr">
        <is>
          <t>Decisión que abre: mover escaparate, formación del equipo y condiciones de compra hacia la familia que sí devuelve margen, y dejar de comprar solo por la condición del laboratorio.</t>
        </is>
      </c>
    </row>
    <row r="12" ht="24" customHeight="1">
      <c r="B12" s="17" t="inlineStr">
        <is>
          <t>2. Coste de personal sobre el margen bruto (no sobre las ventas)</t>
        </is>
      </c>
    </row>
    <row r="13" ht="28" customHeight="1">
      <c r="B13" s="18" t="inlineStr">
        <is>
          <t>Qué mirar: si este porcentaje sube mes a mes respecto a tu propia serie, sobre todo justo después de una incorporación o de una caída de margen en el ratio 1.</t>
        </is>
      </c>
    </row>
    <row r="14" ht="28" customHeight="1">
      <c r="B14" s="18" t="inlineStr">
        <is>
          <t>Decisión que abre: casi nunca es recortar plantilla. Es revisar qué vende cada persona, qué familias domina y qué le falta para recomendar con criterio lo que hoy pasa de largo por el mostrador.</t>
        </is>
      </c>
    </row>
    <row r="16" ht="24" customHeight="1">
      <c r="B16" s="17" t="inlineStr">
        <is>
          <t>3. Cobertura de stock en días, por familia</t>
        </is>
      </c>
    </row>
    <row r="17" ht="41" customHeight="1">
      <c r="B17" s="18" t="inlineStr">
        <is>
          <t>Qué mirar: una familia cuya cobertura se dispara varios meses seguidos frente a tu propia media, sobre todo si viene de una condición de compra reciente. La cobertura global sirve para el vistazo rápido; la decisión real se toma familia a familia.</t>
        </is>
      </c>
    </row>
    <row r="18" ht="28" customHeight="1">
      <c r="B18" s="18" t="inlineStr">
        <is>
          <t>Decisión que abre: frenar el pedido de esa familia y, si la condición de compra fue lo que disparó la cobertura, hacer cuentas de si el descuento compensa el dinero parado. A menudo no compensa.</t>
        </is>
      </c>
    </row>
    <row r="20" ht="24" customHeight="1">
      <c r="B20" s="17" t="inlineStr">
        <is>
          <t>4. Punto muerto del mes</t>
        </is>
      </c>
    </row>
    <row r="21" ht="28" customHeight="1">
      <c r="B21" s="18" t="inlineStr">
        <is>
          <t>Qué mirar: si el punto muerto sube respecto a tus meses anteriores sin que haya subido la venta real, o si un mes cierra por debajo del punto muerto de ese mismo mes.</t>
        </is>
      </c>
    </row>
    <row r="22" ht="41" customHeight="1">
      <c r="B22" s="18" t="inlineStr">
        <is>
          <t>Decisión que abre: recalcularlo en cuanto cambie un gasto fijo (contratación, alquiler, renting) ANTES de firmarlo, no después. Así sabes cuánta venta adicional hace falta para que la decisión se pague sola.</t>
        </is>
      </c>
    </row>
    <row r="24" ht="24" customHeight="1">
      <c r="B24" s="17" t="inlineStr">
        <is>
          <t>5. Desfase de caja en días</t>
        </is>
      </c>
    </row>
    <row r="25" ht="28" customHeight="1">
      <c r="B25" s="18" t="inlineStr">
        <is>
          <t>Qué mirar: un desfase positivo (cobras después de pagar) que se mantiene o crece mes a mes en tu propia serie. Un desfase negativo o en cero es la posición cómoda.</t>
        </is>
      </c>
    </row>
    <row r="26" ht="28" customHeight="1">
      <c r="B26" s="18" t="inlineStr">
        <is>
          <t>Decisión que abre: negociar plazos con el mayorista con el número en la mano, y dimensionar el colchón de tesorería que necesitas de verdad, en vez de estimarlo a ojo.</t>
        </is>
      </c>
    </row>
    <row r="28" ht="24" customHeight="1">
      <c r="B28" s="17" t="inlineStr">
        <is>
          <t>De dónde sale</t>
        </is>
      </c>
    </row>
    <row r="29" ht="41" customHeight="1">
      <c r="B29" s="18" t="inlineStr">
        <is>
          <t>Complemento de farmapro Impulso, edición 28: "La rentabilidad oculta". El artículo completo desarrolla los cinco cálculos paso a paso y las preguntas frecuentes (qué hacer si tu programa de gestión no da el margen por familia, cada cuánto recalcular).</t>
        </is>
      </c>
    </row>
    <row r="30" ht="28" customHeight="1">
      <c r="B30" s="18" t="inlineStr">
        <is>
          <t>Convención usada en "2. Ratios": la cobertura de stock multiplica por 30 días de mes, sea cual sea el mes, para no depender de un año concreto.</t>
        </is>
      </c>
    </row>
    <row r="33">
      <c r="B33" s="19" t="inlineStr">
        <is>
          <t>farmapro  ·  farmapro.es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2026-09-15T17:30:54Z</dcterms:created>
  <dcterms:modified xmlns:dcterms="http://purl.org/dc/terms/" xmlns:xsi="http://www.w3.org/2001/XMLSchema-instance" xsi:type="dcterms:W3CDTF">2026-09-15T17:30:54Z</dcterms:modified>
</cp:coreProperties>
</file>