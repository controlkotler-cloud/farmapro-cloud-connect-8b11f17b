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ómo usarla" sheetId="1" state="visible" r:id="rId1"/>
    <sheet xmlns:r="http://schemas.openxmlformats.org/officeDocument/2006/relationships" name="Cuestionario (imprimir)" sheetId="2" state="visible" r:id="rId2"/>
    <sheet xmlns:r="http://schemas.openxmlformats.org/officeDocument/2006/relationships" name="Respuestas" sheetId="3" state="visible" r:id="rId3"/>
    <sheet xmlns:r="http://schemas.openxmlformats.org/officeDocument/2006/relationships" name="Resultados" sheetId="4" state="visible" r:id="rId4"/>
    <sheet xmlns:r="http://schemas.openxmlformats.org/officeDocument/2006/relationships" name="Plan de acción" sheetId="5" state="visible" r:id="rId5"/>
  </sheets>
  <definedNames>
    <definedName name="_xlnm.Print_Area" localSheetId="1">'Cuestionario (imprimir)'!$A$1:$L$27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dd/mm/yyyy"/>
    <numFmt numFmtId="165" formatCode="0&quot; pts&quot;"/>
    <numFmt numFmtId="166" formatCode="0.0"/>
  </numFmts>
  <fonts count="9">
    <font>
      <name val="Calibri"/>
      <family val="2"/>
      <color theme="1"/>
      <sz val="11"/>
      <scheme val="minor"/>
    </font>
    <font>
      <name val="Calibri"/>
      <b val="1"/>
      <color rgb="001A1A1A"/>
      <sz val="16"/>
    </font>
    <font>
      <name val="Calibri"/>
      <color rgb="006B7280"/>
      <sz val="10"/>
    </font>
    <font>
      <name val="Calibri"/>
      <b val="1"/>
      <color rgb="001A1A1A"/>
      <sz val="11"/>
    </font>
    <font>
      <name val="Calibri"/>
      <color rgb="001A1A1A"/>
      <sz val="10"/>
    </font>
    <font>
      <name val="Calibri"/>
      <i val="1"/>
      <color rgb="006B7280"/>
      <sz val="9"/>
    </font>
    <font>
      <name val="Calibri"/>
      <b val="1"/>
      <color rgb="001A1A1A"/>
      <sz val="15"/>
    </font>
    <font>
      <name val="Calibri"/>
      <b val="1"/>
      <color rgb="001A1A1A"/>
      <sz val="10"/>
    </font>
    <font>
      <name val="Calibri"/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EBF5D9"/>
      </patternFill>
    </fill>
    <fill>
      <patternFill patternType="solid">
        <fgColor rgb="004E8225"/>
      </patternFill>
    </fill>
  </fills>
  <borders count="3">
    <border>
      <left/>
      <right/>
      <top/>
      <bottom/>
      <diagonal/>
    </border>
    <border>
      <left style="thin">
        <color rgb="00E5E7EB"/>
      </left>
      <right style="thin">
        <color rgb="00E5E7EB"/>
      </right>
      <top style="thin">
        <color rgb="00E5E7EB"/>
      </top>
      <bottom style="thin">
        <color rgb="00E5E7EB"/>
      </bottom>
    </border>
    <border>
      <bottom style="thin">
        <color rgb="00E5E7EB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 wrapText="1"/>
    </xf>
    <xf numFmtId="0" fontId="5" fillId="0" borderId="0" applyAlignment="1" pivotButton="0" quotePrefix="0" xfId="0">
      <alignment horizontal="left"/>
    </xf>
    <xf numFmtId="0" fontId="6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left" vertical="center" wrapText="1"/>
    </xf>
    <xf numFmtId="0" fontId="7" fillId="0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left" vertical="center"/>
    </xf>
    <xf numFmtId="0" fontId="0" fillId="0" borderId="2" pivotButton="0" quotePrefix="0" xfId="0"/>
    <xf numFmtId="0" fontId="5" fillId="0" borderId="0" applyAlignment="1" pivotButton="0" quotePrefix="0" xfId="0">
      <alignment horizontal="left" vertical="center"/>
    </xf>
    <xf numFmtId="0" fontId="7" fillId="0" borderId="0" applyAlignment="1" pivotButton="0" quotePrefix="0" xfId="0">
      <alignment horizontal="left" vertical="center"/>
    </xf>
    <xf numFmtId="0" fontId="8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3" fillId="2" borderId="0" applyAlignment="1" pivotButton="0" quotePrefix="0" xfId="0">
      <alignment horizontal="left" vertical="center"/>
    </xf>
    <xf numFmtId="1" fontId="4" fillId="0" borderId="1" applyAlignment="1" pivotButton="0" quotePrefix="0" xfId="0">
      <alignment horizontal="center" vertical="center" wrapText="1"/>
    </xf>
    <xf numFmtId="9" fontId="4" fillId="0" borderId="1" applyAlignment="1" pivotButton="0" quotePrefix="0" xfId="0">
      <alignment horizontal="center" vertical="center" wrapText="1"/>
    </xf>
    <xf numFmtId="165" fontId="7" fillId="0" borderId="1" applyAlignment="1" pivotButton="0" quotePrefix="0" xfId="0">
      <alignment horizontal="center" vertical="center" wrapText="1"/>
    </xf>
    <xf numFmtId="166" fontId="4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dxfs count="7">
    <dxf>
      <fill>
        <patternFill patternType="solid">
          <fgColor rgb="00EBF5D9"/>
        </patternFill>
      </fill>
    </dxf>
    <dxf>
      <fill>
        <patternFill patternType="solid">
          <fgColor rgb="00F3F4F6"/>
        </patternFill>
      </fill>
    </dxf>
    <dxf>
      <fill>
        <patternFill patternType="solid">
          <fgColor rgb="00FEE2E2"/>
        </patternFill>
      </fill>
    </dxf>
    <dxf>
      <font>
        <b val="1"/>
        <color rgb="009C0006"/>
      </font>
      <fill>
        <patternFill patternType="solid">
          <fgColor rgb="00FFC7CE"/>
        </patternFill>
      </fill>
    </dxf>
    <dxf>
      <font>
        <b val="1"/>
        <color rgb="009C6500"/>
      </font>
      <fill>
        <patternFill patternType="solid">
          <fgColor rgb="00FFEB9C"/>
        </patternFill>
      </fill>
    </dxf>
    <dxf>
      <font>
        <b val="1"/>
        <color rgb="00006100"/>
      </font>
      <fill>
        <patternFill patternType="solid">
          <fgColor rgb="00C6EFCE"/>
        </patternFill>
      </fill>
    </dxf>
    <dxf>
      <font>
        <b val="1"/>
        <color rgb="00006100"/>
      </font>
      <fill>
        <patternFill patternType="solid">
          <fgColor rgb="0092D05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Valoración media por aspecto (1-5)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'Resultados'!B12</f>
            </strRef>
          </tx>
          <spPr>
            <a:solidFill xmlns:a="http://schemas.openxmlformats.org/drawingml/2006/main">
              <a:srgbClr val="4E8225"/>
            </a:solidFill>
            <a:ln xmlns:a="http://schemas.openxmlformats.org/drawingml/2006/main">
              <a:prstDash val="solid"/>
            </a:ln>
          </spPr>
          <cat>
            <numRef>
              <f>'Resultados'!$A$13:$A$17</f>
            </numRef>
          </cat>
          <val>
            <numRef>
              <f>'Resultados'!$B$13:$B$17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Media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12</row>
      <rowOff>0</rowOff>
    </from>
    <ext cx="540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95" customWidth="1" min="2" max="2"/>
  </cols>
  <sheetData>
    <row r="1" ht="24" customHeight="1">
      <c r="A1" s="1" t="inlineStr">
        <is>
          <t>Termómetro del cliente: encuesta + NPS</t>
        </is>
      </c>
    </row>
    <row r="2">
      <c r="A2" s="2" t="inlineStr">
        <is>
          <t>Premio exclusivo de la Rebotica · portal farmapro · qué es, quién la pasa y qué hacer con lo que responda la gente</t>
        </is>
      </c>
    </row>
    <row r="3" ht="8" customHeight="1"/>
    <row r="4" ht="46" customHeight="1">
      <c r="A4" s="3" t="inlineStr">
        <is>
          <t>Qué es el NPS</t>
        </is>
      </c>
      <c r="B4" s="4" t="inlineStr">
        <is>
          <t>Se pregunta «¿Recomendarías esta farmacia a un amigo o familiar?» en una escala de 0 a 10. Promotores: 9-10. Pasivos: 7-8. Detractores: 0-6.</t>
        </is>
      </c>
    </row>
    <row r="5" ht="46" customHeight="1">
      <c r="A5" s="3" t="inlineStr">
        <is>
          <t>Cómo se calcula</t>
        </is>
      </c>
      <c r="B5" s="4" t="inlineStr">
        <is>
          <t>NPS = % de promotores − % de detractores. El resultado se expresa en puntos, no en porcentaje (puede ir de -100 a +100).</t>
        </is>
      </c>
    </row>
    <row r="6" ht="46" customHeight="1">
      <c r="A6" s="3" t="inlineStr">
        <is>
          <t>Cómo pasar la encuesta</t>
        </is>
      </c>
      <c r="B6" s="4" t="inlineStr">
        <is>
          <t>En tarjeta en el mostrador, por QR o en papel. Se mantiene activa dos semanas seguidas, sin pausas.</t>
        </is>
      </c>
    </row>
    <row r="7" ht="46" customHeight="1">
      <c r="A7" s="3" t="inlineStr">
        <is>
          <t>Cuántas respuestas hacen falta</t>
        </is>
      </c>
      <c r="B7" s="4" t="inlineStr">
        <is>
          <t>Con menos de 30 respuestas no se puede leer nada con garantías: hay que seguir recogiendo antes de sacar conclusiones.</t>
        </is>
      </c>
    </row>
    <row r="8" ht="46" customHeight="1">
      <c r="A8" s="3" t="inlineStr">
        <is>
          <t>Quién la pasa</t>
        </is>
      </c>
      <c r="B8" s="4" t="inlineStr">
        <is>
          <t>El equipo, en el momento de la compra o la consulta. Nunca el titular a solas con clientes de confianza: cambia la respuesta según quién pregunte.</t>
        </is>
      </c>
    </row>
    <row r="9" ht="46" customHeight="1">
      <c r="A9" s="3" t="inlineStr">
        <is>
          <t>Qué hacer con las quejas</t>
        </is>
      </c>
      <c r="B9" s="4" t="inlineStr">
        <is>
          <t>Si la persona deja nombre y teléfono, se le llama en un plazo de 48 horas. No se responde por escrito en la tarjeta.</t>
        </is>
      </c>
    </row>
    <row r="10" ht="46" customHeight="1">
      <c r="A10" s="3" t="inlineStr">
        <is>
          <t>Qué hacer con el resto de respuestas</t>
        </is>
      </c>
      <c r="B10" s="4" t="inlineStr">
        <is>
          <t>Se vuelcan en la hoja «Respuestas» (una fila por persona) y se leen juntas en la hoja «Resultados» al cerrar la tanda.</t>
        </is>
      </c>
    </row>
    <row r="11" ht="46" customHeight="1">
      <c r="A11" s="3" t="inlineStr">
        <is>
          <t>Después de leer los resultados</t>
        </is>
      </c>
      <c r="B11" s="4" t="inlineStr">
        <is>
          <t>Las conclusiones se llevan a la hoja «Plan de acción»: un hallazgo, la palanca que afecta, una acción, un responsable y una fecha.</t>
        </is>
      </c>
    </row>
    <row r="13">
      <c r="A13" s="5" t="inlineStr">
        <is>
          <t>Plantilla exclusiva de la Rebotica · portal farmapro · solo sale de los cajones</t>
        </is>
      </c>
    </row>
  </sheetData>
  <mergeCells count="3">
    <mergeCell ref="A13:B13"/>
    <mergeCell ref="A2:B2"/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L27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.5" customWidth="1" min="2" max="2"/>
    <col width="3.5" customWidth="1" min="3" max="3"/>
    <col width="3.5" customWidth="1" min="4" max="4"/>
    <col width="3.5" customWidth="1" min="5" max="5"/>
    <col width="3.5" customWidth="1" min="6" max="6"/>
    <col width="3.5" customWidth="1" min="7" max="7"/>
    <col width="3.5" customWidth="1" min="8" max="8"/>
    <col width="3.5" customWidth="1" min="9" max="9"/>
    <col width="3.5" customWidth="1" min="10" max="10"/>
    <col width="3.5" customWidth="1" min="11" max="11"/>
    <col width="3.5" customWidth="1" min="12" max="12"/>
  </cols>
  <sheetData>
    <row r="1" ht="26" customHeight="1">
      <c r="A1" s="6" t="inlineStr">
        <is>
          <t>Ayúdanos a mejorar: 1 minuto</t>
        </is>
      </c>
    </row>
    <row r="2" ht="16" customHeight="1">
      <c r="A2" s="7" t="inlineStr">
        <is>
          <t>Tu opinión ayuda al equipo de esta farmacia a mejorar. Gracias por dedicarle un minuto.</t>
        </is>
      </c>
    </row>
    <row r="4" ht="18" customHeight="1">
      <c r="A4" s="8" t="inlineStr">
        <is>
          <t>1. ¿Recomendarías esta farmacia a un amigo o familiar? (rodea un número)</t>
        </is>
      </c>
    </row>
    <row r="5" ht="22" customHeight="1">
      <c r="A5" s="9" t="n">
        <v>0</v>
      </c>
      <c r="B5" s="9" t="n">
        <v>1</v>
      </c>
      <c r="C5" s="9" t="n">
        <v>2</v>
      </c>
      <c r="D5" s="9" t="n">
        <v>3</v>
      </c>
      <c r="E5" s="9" t="n">
        <v>4</v>
      </c>
      <c r="F5" s="9" t="n">
        <v>5</v>
      </c>
      <c r="G5" s="9" t="n">
        <v>6</v>
      </c>
      <c r="H5" s="9" t="n">
        <v>7</v>
      </c>
      <c r="I5" s="9" t="n">
        <v>8</v>
      </c>
      <c r="J5" s="9" t="n">
        <v>9</v>
      </c>
      <c r="K5" s="9" t="n">
        <v>10</v>
      </c>
    </row>
    <row r="7" ht="18" customHeight="1">
      <c r="A7" s="8" t="inlineStr">
        <is>
          <t>2. ¿Qué te ha traído hoy? (marca una)</t>
        </is>
      </c>
    </row>
    <row r="8" ht="20" customHeight="1">
      <c r="A8" s="10" t="inlineStr">
        <is>
          <t>☐  Receta</t>
        </is>
      </c>
      <c r="C8" s="10" t="inlineStr">
        <is>
          <t>☐  Consejo</t>
        </is>
      </c>
      <c r="E8" s="10" t="inlineStr">
        <is>
          <t>☐  Parafarmacia</t>
        </is>
      </c>
      <c r="G8" s="10" t="inlineStr">
        <is>
          <t>☐  Servicio</t>
        </is>
      </c>
      <c r="I8" s="10" t="inlineStr">
        <is>
          <t>☐  Otro</t>
        </is>
      </c>
    </row>
    <row r="10" ht="18" customHeight="1">
      <c r="A10" s="8" t="inlineStr">
        <is>
          <t>3. Valora de 1 a 5 (1 = mal, 5 = muy bien)</t>
        </is>
      </c>
    </row>
    <row r="11" ht="20" customHeight="1">
      <c r="A11" s="10" t="inlineStr">
        <is>
          <t>Tiempo de espera</t>
        </is>
      </c>
      <c r="E11" s="9" t="n">
        <v>1</v>
      </c>
      <c r="F11" s="9" t="n">
        <v>2</v>
      </c>
      <c r="G11" s="9" t="n">
        <v>3</v>
      </c>
      <c r="H11" s="9" t="n">
        <v>4</v>
      </c>
      <c r="I11" s="9" t="n">
        <v>5</v>
      </c>
    </row>
    <row r="12" ht="20" customHeight="1">
      <c r="A12" s="10" t="inlineStr">
        <is>
          <t>Trato del equipo</t>
        </is>
      </c>
      <c r="E12" s="9" t="n">
        <v>1</v>
      </c>
      <c r="F12" s="9" t="n">
        <v>2</v>
      </c>
      <c r="G12" s="9" t="n">
        <v>3</v>
      </c>
      <c r="H12" s="9" t="n">
        <v>4</v>
      </c>
      <c r="I12" s="9" t="n">
        <v>5</v>
      </c>
    </row>
    <row r="13" ht="20" customHeight="1">
      <c r="A13" s="10" t="inlineStr">
        <is>
          <t>Consejo recibido</t>
        </is>
      </c>
      <c r="E13" s="9" t="n">
        <v>1</v>
      </c>
      <c r="F13" s="9" t="n">
        <v>2</v>
      </c>
      <c r="G13" s="9" t="n">
        <v>3</v>
      </c>
      <c r="H13" s="9" t="n">
        <v>4</v>
      </c>
      <c r="I13" s="9" t="n">
        <v>5</v>
      </c>
    </row>
    <row r="14" ht="20" customHeight="1">
      <c r="A14" s="10" t="inlineStr">
        <is>
          <t>Surtido</t>
        </is>
      </c>
      <c r="E14" s="9" t="n">
        <v>1</v>
      </c>
      <c r="F14" s="9" t="n">
        <v>2</v>
      </c>
      <c r="G14" s="9" t="n">
        <v>3</v>
      </c>
      <c r="H14" s="9" t="n">
        <v>4</v>
      </c>
      <c r="I14" s="9" t="n">
        <v>5</v>
      </c>
    </row>
    <row r="15" ht="20" customHeight="1">
      <c r="A15" s="10" t="inlineStr">
        <is>
          <t>Precio</t>
        </is>
      </c>
      <c r="E15" s="9" t="n">
        <v>1</v>
      </c>
      <c r="F15" s="9" t="n">
        <v>2</v>
      </c>
      <c r="G15" s="9" t="n">
        <v>3</v>
      </c>
      <c r="H15" s="9" t="n">
        <v>4</v>
      </c>
      <c r="I15" s="9" t="n">
        <v>5</v>
      </c>
    </row>
    <row r="17" ht="18" customHeight="1">
      <c r="A17" s="8" t="inlineStr">
        <is>
          <t>4. ¿Qué es lo que mejor hacemos?</t>
        </is>
      </c>
    </row>
    <row r="18" ht="20" customHeight="1">
      <c r="A18" s="11" t="n"/>
      <c r="B18" s="11" t="n"/>
      <c r="C18" s="11" t="n"/>
      <c r="D18" s="11" t="n"/>
      <c r="E18" s="11" t="n"/>
      <c r="F18" s="11" t="n"/>
      <c r="G18" s="11" t="n"/>
      <c r="H18" s="11" t="n"/>
      <c r="I18" s="11" t="n"/>
      <c r="J18" s="11" t="n"/>
      <c r="K18" s="11" t="n"/>
      <c r="L18" s="11" t="n"/>
    </row>
    <row r="20" ht="18" customHeight="1">
      <c r="A20" s="8" t="inlineStr">
        <is>
          <t>5. ¿Qué cambiarías?</t>
        </is>
      </c>
    </row>
    <row r="21" ht="20" customHeight="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  <c r="K21" s="11" t="n"/>
      <c r="L21" s="11" t="n"/>
    </row>
    <row r="23" ht="18" customHeight="1">
      <c r="A23" s="8" t="inlineStr">
        <is>
          <t>6. Si quieres que te llamemos (opcional): nombre y teléfono</t>
        </is>
      </c>
    </row>
    <row r="24" ht="20" customHeight="1">
      <c r="A24" s="11" t="n"/>
      <c r="B24" s="11" t="n"/>
      <c r="C24" s="11" t="n"/>
      <c r="D24" s="11" t="n"/>
      <c r="E24" s="11" t="n"/>
      <c r="F24" s="11" t="n"/>
      <c r="G24" s="11" t="n"/>
      <c r="H24" s="11" t="n"/>
      <c r="I24" s="11" t="n"/>
      <c r="J24" s="11" t="n"/>
      <c r="K24" s="11" t="n"/>
      <c r="L24" s="11" t="n"/>
    </row>
    <row r="25">
      <c r="A25" s="12" t="inlineStr">
        <is>
          <t>Solo usaremos tus datos para responder a tu comentario.</t>
        </is>
      </c>
    </row>
    <row r="27">
      <c r="A27" s="13" t="inlineStr">
        <is>
          <t>Gracias. Farmacia ______________________________</t>
        </is>
      </c>
    </row>
  </sheetData>
  <mergeCells count="24">
    <mergeCell ref="A7:L7"/>
    <mergeCell ref="A25:L25"/>
    <mergeCell ref="A18:L18"/>
    <mergeCell ref="A27:L27"/>
    <mergeCell ref="G8:H8"/>
    <mergeCell ref="A21:L21"/>
    <mergeCell ref="E8:F8"/>
    <mergeCell ref="A13:D13"/>
    <mergeCell ref="A2:L2"/>
    <mergeCell ref="G24:L24"/>
    <mergeCell ref="A23:L23"/>
    <mergeCell ref="A15:D15"/>
    <mergeCell ref="A17:L17"/>
    <mergeCell ref="A11:D11"/>
    <mergeCell ref="A4:L4"/>
    <mergeCell ref="A20:L20"/>
    <mergeCell ref="A10:L10"/>
    <mergeCell ref="I8:J8"/>
    <mergeCell ref="A8:B8"/>
    <mergeCell ref="C8:D8"/>
    <mergeCell ref="A24:F24"/>
    <mergeCell ref="A12:D12"/>
    <mergeCell ref="A1:L1"/>
    <mergeCell ref="A14:D14"/>
  </mergeCells>
  <pageMargins left="0.5" right="0.5" top="0.6" bottom="0.5" header="0.3" footer="0.3"/>
  <pageSetup orientation="portrait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0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10" customWidth="1" min="3" max="3"/>
    <col width="12" customWidth="1" min="4" max="4"/>
    <col width="13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30" customWidth="1" min="11" max="11"/>
    <col width="30" customWidth="1" min="12" max="12"/>
    <col width="10" customWidth="1" min="13" max="13"/>
    <col width="10" customWidth="1" min="14" max="14"/>
  </cols>
  <sheetData>
    <row r="1" ht="24" customHeight="1">
      <c r="A1" s="1" t="inlineStr">
        <is>
          <t>Respuestas</t>
        </is>
      </c>
    </row>
    <row r="2">
      <c r="A2" s="2" t="inlineStr">
        <is>
          <t>Una fila por persona encuestada. La columna «Categoría NPS» se calcula sola a partir de la puntuación.</t>
        </is>
      </c>
    </row>
    <row r="3" ht="8" customHeight="1"/>
    <row r="4" ht="30" customHeight="1">
      <c r="A4" s="14" t="inlineStr">
        <is>
          <t>Nº</t>
        </is>
      </c>
      <c r="B4" s="14" t="inlineStr">
        <is>
          <t>Fecha</t>
        </is>
      </c>
      <c r="C4" s="14" t="inlineStr">
        <is>
          <t>Puntuación
0-10</t>
        </is>
      </c>
      <c r="D4" s="14" t="inlineStr">
        <is>
          <t>Categoría
NPS</t>
        </is>
      </c>
      <c r="E4" s="14" t="inlineStr">
        <is>
          <t>Motivo de
visita</t>
        </is>
      </c>
      <c r="F4" s="14" t="inlineStr">
        <is>
          <t>Espera
1-5</t>
        </is>
      </c>
      <c r="G4" s="14" t="inlineStr">
        <is>
          <t>Trato
1-5</t>
        </is>
      </c>
      <c r="H4" s="14" t="inlineStr">
        <is>
          <t>Consejo
1-5</t>
        </is>
      </c>
      <c r="I4" s="14" t="inlineStr">
        <is>
          <t>Surtido
1-5</t>
        </is>
      </c>
      <c r="J4" s="14" t="inlineStr">
        <is>
          <t>Precio
1-5</t>
        </is>
      </c>
      <c r="K4" s="14" t="inlineStr">
        <is>
          <t>Lo mejor</t>
        </is>
      </c>
      <c r="L4" s="14" t="inlineStr">
        <is>
          <t>Cambiaría</t>
        </is>
      </c>
      <c r="M4" s="14" t="inlineStr">
        <is>
          <t>Quiere
llamada</t>
        </is>
      </c>
      <c r="N4" s="14" t="inlineStr">
        <is>
          <t>Llamado</t>
        </is>
      </c>
    </row>
    <row r="5">
      <c r="A5" s="15" t="n">
        <v>1</v>
      </c>
      <c r="B5" s="16" t="n"/>
      <c r="C5" s="15" t="n"/>
      <c r="D5" s="15">
        <f>IF(C5="","",IF(C5&gt;=9,"Promotor",IF(C5&gt;=7,"Pasivo","Detractor")))</f>
        <v/>
      </c>
      <c r="E5" s="17" t="n"/>
      <c r="F5" s="15" t="n"/>
      <c r="G5" s="15" t="n"/>
      <c r="H5" s="15" t="n"/>
      <c r="I5" s="15" t="n"/>
      <c r="J5" s="15" t="n"/>
      <c r="K5" s="17" t="n"/>
      <c r="L5" s="17" t="n"/>
      <c r="M5" s="15" t="n"/>
      <c r="N5" s="15" t="n"/>
    </row>
    <row r="6">
      <c r="A6" s="15" t="n">
        <v>2</v>
      </c>
      <c r="B6" s="16" t="n"/>
      <c r="C6" s="15" t="n"/>
      <c r="D6" s="15">
        <f>IF(C6="","",IF(C6&gt;=9,"Promotor",IF(C6&gt;=7,"Pasivo","Detractor")))</f>
        <v/>
      </c>
      <c r="E6" s="17" t="n"/>
      <c r="F6" s="15" t="n"/>
      <c r="G6" s="15" t="n"/>
      <c r="H6" s="15" t="n"/>
      <c r="I6" s="15" t="n"/>
      <c r="J6" s="15" t="n"/>
      <c r="K6" s="17" t="n"/>
      <c r="L6" s="17" t="n"/>
      <c r="M6" s="15" t="n"/>
      <c r="N6" s="15" t="n"/>
    </row>
    <row r="7">
      <c r="A7" s="15" t="n">
        <v>3</v>
      </c>
      <c r="B7" s="16" t="n"/>
      <c r="C7" s="15" t="n"/>
      <c r="D7" s="15">
        <f>IF(C7="","",IF(C7&gt;=9,"Promotor",IF(C7&gt;=7,"Pasivo","Detractor")))</f>
        <v/>
      </c>
      <c r="E7" s="17" t="n"/>
      <c r="F7" s="15" t="n"/>
      <c r="G7" s="15" t="n"/>
      <c r="H7" s="15" t="n"/>
      <c r="I7" s="15" t="n"/>
      <c r="J7" s="15" t="n"/>
      <c r="K7" s="17" t="n"/>
      <c r="L7" s="17" t="n"/>
      <c r="M7" s="15" t="n"/>
      <c r="N7" s="15" t="n"/>
    </row>
    <row r="8">
      <c r="A8" s="15" t="n">
        <v>4</v>
      </c>
      <c r="B8" s="16" t="n"/>
      <c r="C8" s="15" t="n"/>
      <c r="D8" s="15">
        <f>IF(C8="","",IF(C8&gt;=9,"Promotor",IF(C8&gt;=7,"Pasivo","Detractor")))</f>
        <v/>
      </c>
      <c r="E8" s="17" t="n"/>
      <c r="F8" s="15" t="n"/>
      <c r="G8" s="15" t="n"/>
      <c r="H8" s="15" t="n"/>
      <c r="I8" s="15" t="n"/>
      <c r="J8" s="15" t="n"/>
      <c r="K8" s="17" t="n"/>
      <c r="L8" s="17" t="n"/>
      <c r="M8" s="15" t="n"/>
      <c r="N8" s="15" t="n"/>
    </row>
    <row r="9">
      <c r="A9" s="15" t="n">
        <v>5</v>
      </c>
      <c r="B9" s="16" t="n"/>
      <c r="C9" s="15" t="n"/>
      <c r="D9" s="15">
        <f>IF(C9="","",IF(C9&gt;=9,"Promotor",IF(C9&gt;=7,"Pasivo","Detractor")))</f>
        <v/>
      </c>
      <c r="E9" s="17" t="n"/>
      <c r="F9" s="15" t="n"/>
      <c r="G9" s="15" t="n"/>
      <c r="H9" s="15" t="n"/>
      <c r="I9" s="15" t="n"/>
      <c r="J9" s="15" t="n"/>
      <c r="K9" s="17" t="n"/>
      <c r="L9" s="17" t="n"/>
      <c r="M9" s="15" t="n"/>
      <c r="N9" s="15" t="n"/>
    </row>
    <row r="10">
      <c r="A10" s="15" t="n">
        <v>6</v>
      </c>
      <c r="B10" s="16" t="n"/>
      <c r="C10" s="15" t="n"/>
      <c r="D10" s="15">
        <f>IF(C10="","",IF(C10&gt;=9,"Promotor",IF(C10&gt;=7,"Pasivo","Detractor")))</f>
        <v/>
      </c>
      <c r="E10" s="17" t="n"/>
      <c r="F10" s="15" t="n"/>
      <c r="G10" s="15" t="n"/>
      <c r="H10" s="15" t="n"/>
      <c r="I10" s="15" t="n"/>
      <c r="J10" s="15" t="n"/>
      <c r="K10" s="17" t="n"/>
      <c r="L10" s="17" t="n"/>
      <c r="M10" s="15" t="n"/>
      <c r="N10" s="15" t="n"/>
    </row>
    <row r="11">
      <c r="A11" s="15" t="n">
        <v>7</v>
      </c>
      <c r="B11" s="16" t="n"/>
      <c r="C11" s="15" t="n"/>
      <c r="D11" s="15">
        <f>IF(C11="","",IF(C11&gt;=9,"Promotor",IF(C11&gt;=7,"Pasivo","Detractor")))</f>
        <v/>
      </c>
      <c r="E11" s="17" t="n"/>
      <c r="F11" s="15" t="n"/>
      <c r="G11" s="15" t="n"/>
      <c r="H11" s="15" t="n"/>
      <c r="I11" s="15" t="n"/>
      <c r="J11" s="15" t="n"/>
      <c r="K11" s="17" t="n"/>
      <c r="L11" s="17" t="n"/>
      <c r="M11" s="15" t="n"/>
      <c r="N11" s="15" t="n"/>
    </row>
    <row r="12">
      <c r="A12" s="15" t="n">
        <v>8</v>
      </c>
      <c r="B12" s="16" t="n"/>
      <c r="C12" s="15" t="n"/>
      <c r="D12" s="15">
        <f>IF(C12="","",IF(C12&gt;=9,"Promotor",IF(C12&gt;=7,"Pasivo","Detractor")))</f>
        <v/>
      </c>
      <c r="E12" s="17" t="n"/>
      <c r="F12" s="15" t="n"/>
      <c r="G12" s="15" t="n"/>
      <c r="H12" s="15" t="n"/>
      <c r="I12" s="15" t="n"/>
      <c r="J12" s="15" t="n"/>
      <c r="K12" s="17" t="n"/>
      <c r="L12" s="17" t="n"/>
      <c r="M12" s="15" t="n"/>
      <c r="N12" s="15" t="n"/>
    </row>
    <row r="13">
      <c r="A13" s="15" t="n">
        <v>9</v>
      </c>
      <c r="B13" s="16" t="n"/>
      <c r="C13" s="15" t="n"/>
      <c r="D13" s="15">
        <f>IF(C13="","",IF(C13&gt;=9,"Promotor",IF(C13&gt;=7,"Pasivo","Detractor")))</f>
        <v/>
      </c>
      <c r="E13" s="17" t="n"/>
      <c r="F13" s="15" t="n"/>
      <c r="G13" s="15" t="n"/>
      <c r="H13" s="15" t="n"/>
      <c r="I13" s="15" t="n"/>
      <c r="J13" s="15" t="n"/>
      <c r="K13" s="17" t="n"/>
      <c r="L13" s="17" t="n"/>
      <c r="M13" s="15" t="n"/>
      <c r="N13" s="15" t="n"/>
    </row>
    <row r="14">
      <c r="A14" s="15" t="n">
        <v>10</v>
      </c>
      <c r="B14" s="16" t="n"/>
      <c r="C14" s="15" t="n"/>
      <c r="D14" s="15">
        <f>IF(C14="","",IF(C14&gt;=9,"Promotor",IF(C14&gt;=7,"Pasivo","Detractor")))</f>
        <v/>
      </c>
      <c r="E14" s="17" t="n"/>
      <c r="F14" s="15" t="n"/>
      <c r="G14" s="15" t="n"/>
      <c r="H14" s="15" t="n"/>
      <c r="I14" s="15" t="n"/>
      <c r="J14" s="15" t="n"/>
      <c r="K14" s="17" t="n"/>
      <c r="L14" s="17" t="n"/>
      <c r="M14" s="15" t="n"/>
      <c r="N14" s="15" t="n"/>
    </row>
    <row r="15">
      <c r="A15" s="15" t="n">
        <v>11</v>
      </c>
      <c r="B15" s="16" t="n"/>
      <c r="C15" s="15" t="n"/>
      <c r="D15" s="15">
        <f>IF(C15="","",IF(C15&gt;=9,"Promotor",IF(C15&gt;=7,"Pasivo","Detractor")))</f>
        <v/>
      </c>
      <c r="E15" s="17" t="n"/>
      <c r="F15" s="15" t="n"/>
      <c r="G15" s="15" t="n"/>
      <c r="H15" s="15" t="n"/>
      <c r="I15" s="15" t="n"/>
      <c r="J15" s="15" t="n"/>
      <c r="K15" s="17" t="n"/>
      <c r="L15" s="17" t="n"/>
      <c r="M15" s="15" t="n"/>
      <c r="N15" s="15" t="n"/>
    </row>
    <row r="16">
      <c r="A16" s="15" t="n">
        <v>12</v>
      </c>
      <c r="B16" s="16" t="n"/>
      <c r="C16" s="15" t="n"/>
      <c r="D16" s="15">
        <f>IF(C16="","",IF(C16&gt;=9,"Promotor",IF(C16&gt;=7,"Pasivo","Detractor")))</f>
        <v/>
      </c>
      <c r="E16" s="17" t="n"/>
      <c r="F16" s="15" t="n"/>
      <c r="G16" s="15" t="n"/>
      <c r="H16" s="15" t="n"/>
      <c r="I16" s="15" t="n"/>
      <c r="J16" s="15" t="n"/>
      <c r="K16" s="17" t="n"/>
      <c r="L16" s="17" t="n"/>
      <c r="M16" s="15" t="n"/>
      <c r="N16" s="15" t="n"/>
    </row>
    <row r="17">
      <c r="A17" s="15" t="n">
        <v>13</v>
      </c>
      <c r="B17" s="16" t="n"/>
      <c r="C17" s="15" t="n"/>
      <c r="D17" s="15">
        <f>IF(C17="","",IF(C17&gt;=9,"Promotor",IF(C17&gt;=7,"Pasivo","Detractor")))</f>
        <v/>
      </c>
      <c r="E17" s="17" t="n"/>
      <c r="F17" s="15" t="n"/>
      <c r="G17" s="15" t="n"/>
      <c r="H17" s="15" t="n"/>
      <c r="I17" s="15" t="n"/>
      <c r="J17" s="15" t="n"/>
      <c r="K17" s="17" t="n"/>
      <c r="L17" s="17" t="n"/>
      <c r="M17" s="15" t="n"/>
      <c r="N17" s="15" t="n"/>
    </row>
    <row r="18">
      <c r="A18" s="15" t="n">
        <v>14</v>
      </c>
      <c r="B18" s="16" t="n"/>
      <c r="C18" s="15" t="n"/>
      <c r="D18" s="15">
        <f>IF(C18="","",IF(C18&gt;=9,"Promotor",IF(C18&gt;=7,"Pasivo","Detractor")))</f>
        <v/>
      </c>
      <c r="E18" s="17" t="n"/>
      <c r="F18" s="15" t="n"/>
      <c r="G18" s="15" t="n"/>
      <c r="H18" s="15" t="n"/>
      <c r="I18" s="15" t="n"/>
      <c r="J18" s="15" t="n"/>
      <c r="K18" s="17" t="n"/>
      <c r="L18" s="17" t="n"/>
      <c r="M18" s="15" t="n"/>
      <c r="N18" s="15" t="n"/>
    </row>
    <row r="19">
      <c r="A19" s="15" t="n">
        <v>15</v>
      </c>
      <c r="B19" s="16" t="n"/>
      <c r="C19" s="15" t="n"/>
      <c r="D19" s="15">
        <f>IF(C19="","",IF(C19&gt;=9,"Promotor",IF(C19&gt;=7,"Pasivo","Detractor")))</f>
        <v/>
      </c>
      <c r="E19" s="17" t="n"/>
      <c r="F19" s="15" t="n"/>
      <c r="G19" s="15" t="n"/>
      <c r="H19" s="15" t="n"/>
      <c r="I19" s="15" t="n"/>
      <c r="J19" s="15" t="n"/>
      <c r="K19" s="17" t="n"/>
      <c r="L19" s="17" t="n"/>
      <c r="M19" s="15" t="n"/>
      <c r="N19" s="15" t="n"/>
    </row>
    <row r="20">
      <c r="A20" s="15" t="n">
        <v>16</v>
      </c>
      <c r="B20" s="16" t="n"/>
      <c r="C20" s="15" t="n"/>
      <c r="D20" s="15">
        <f>IF(C20="","",IF(C20&gt;=9,"Promotor",IF(C20&gt;=7,"Pasivo","Detractor")))</f>
        <v/>
      </c>
      <c r="E20" s="17" t="n"/>
      <c r="F20" s="15" t="n"/>
      <c r="G20" s="15" t="n"/>
      <c r="H20" s="15" t="n"/>
      <c r="I20" s="15" t="n"/>
      <c r="J20" s="15" t="n"/>
      <c r="K20" s="17" t="n"/>
      <c r="L20" s="17" t="n"/>
      <c r="M20" s="15" t="n"/>
      <c r="N20" s="15" t="n"/>
    </row>
    <row r="21">
      <c r="A21" s="15" t="n">
        <v>17</v>
      </c>
      <c r="B21" s="16" t="n"/>
      <c r="C21" s="15" t="n"/>
      <c r="D21" s="15">
        <f>IF(C21="","",IF(C21&gt;=9,"Promotor",IF(C21&gt;=7,"Pasivo","Detractor")))</f>
        <v/>
      </c>
      <c r="E21" s="17" t="n"/>
      <c r="F21" s="15" t="n"/>
      <c r="G21" s="15" t="n"/>
      <c r="H21" s="15" t="n"/>
      <c r="I21" s="15" t="n"/>
      <c r="J21" s="15" t="n"/>
      <c r="K21" s="17" t="n"/>
      <c r="L21" s="17" t="n"/>
      <c r="M21" s="15" t="n"/>
      <c r="N21" s="15" t="n"/>
    </row>
    <row r="22">
      <c r="A22" s="15" t="n">
        <v>18</v>
      </c>
      <c r="B22" s="16" t="n"/>
      <c r="C22" s="15" t="n"/>
      <c r="D22" s="15">
        <f>IF(C22="","",IF(C22&gt;=9,"Promotor",IF(C22&gt;=7,"Pasivo","Detractor")))</f>
        <v/>
      </c>
      <c r="E22" s="17" t="n"/>
      <c r="F22" s="15" t="n"/>
      <c r="G22" s="15" t="n"/>
      <c r="H22" s="15" t="n"/>
      <c r="I22" s="15" t="n"/>
      <c r="J22" s="15" t="n"/>
      <c r="K22" s="17" t="n"/>
      <c r="L22" s="17" t="n"/>
      <c r="M22" s="15" t="n"/>
      <c r="N22" s="15" t="n"/>
    </row>
    <row r="23">
      <c r="A23" s="15" t="n">
        <v>19</v>
      </c>
      <c r="B23" s="16" t="n"/>
      <c r="C23" s="15" t="n"/>
      <c r="D23" s="15">
        <f>IF(C23="","",IF(C23&gt;=9,"Promotor",IF(C23&gt;=7,"Pasivo","Detractor")))</f>
        <v/>
      </c>
      <c r="E23" s="17" t="n"/>
      <c r="F23" s="15" t="n"/>
      <c r="G23" s="15" t="n"/>
      <c r="H23" s="15" t="n"/>
      <c r="I23" s="15" t="n"/>
      <c r="J23" s="15" t="n"/>
      <c r="K23" s="17" t="n"/>
      <c r="L23" s="17" t="n"/>
      <c r="M23" s="15" t="n"/>
      <c r="N23" s="15" t="n"/>
    </row>
    <row r="24">
      <c r="A24" s="15" t="n">
        <v>20</v>
      </c>
      <c r="B24" s="16" t="n"/>
      <c r="C24" s="15" t="n"/>
      <c r="D24" s="15">
        <f>IF(C24="","",IF(C24&gt;=9,"Promotor",IF(C24&gt;=7,"Pasivo","Detractor")))</f>
        <v/>
      </c>
      <c r="E24" s="17" t="n"/>
      <c r="F24" s="15" t="n"/>
      <c r="G24" s="15" t="n"/>
      <c r="H24" s="15" t="n"/>
      <c r="I24" s="15" t="n"/>
      <c r="J24" s="15" t="n"/>
      <c r="K24" s="17" t="n"/>
      <c r="L24" s="17" t="n"/>
      <c r="M24" s="15" t="n"/>
      <c r="N24" s="15" t="n"/>
    </row>
    <row r="25">
      <c r="A25" s="15" t="n">
        <v>21</v>
      </c>
      <c r="B25" s="16" t="n"/>
      <c r="C25" s="15" t="n"/>
      <c r="D25" s="15">
        <f>IF(C25="","",IF(C25&gt;=9,"Promotor",IF(C25&gt;=7,"Pasivo","Detractor")))</f>
        <v/>
      </c>
      <c r="E25" s="17" t="n"/>
      <c r="F25" s="15" t="n"/>
      <c r="G25" s="15" t="n"/>
      <c r="H25" s="15" t="n"/>
      <c r="I25" s="15" t="n"/>
      <c r="J25" s="15" t="n"/>
      <c r="K25" s="17" t="n"/>
      <c r="L25" s="17" t="n"/>
      <c r="M25" s="15" t="n"/>
      <c r="N25" s="15" t="n"/>
    </row>
    <row r="26">
      <c r="A26" s="15" t="n">
        <v>22</v>
      </c>
      <c r="B26" s="16" t="n"/>
      <c r="C26" s="15" t="n"/>
      <c r="D26" s="15">
        <f>IF(C26="","",IF(C26&gt;=9,"Promotor",IF(C26&gt;=7,"Pasivo","Detractor")))</f>
        <v/>
      </c>
      <c r="E26" s="17" t="n"/>
      <c r="F26" s="15" t="n"/>
      <c r="G26" s="15" t="n"/>
      <c r="H26" s="15" t="n"/>
      <c r="I26" s="15" t="n"/>
      <c r="J26" s="15" t="n"/>
      <c r="K26" s="17" t="n"/>
      <c r="L26" s="17" t="n"/>
      <c r="M26" s="15" t="n"/>
      <c r="N26" s="15" t="n"/>
    </row>
    <row r="27">
      <c r="A27" s="15" t="n">
        <v>23</v>
      </c>
      <c r="B27" s="16" t="n"/>
      <c r="C27" s="15" t="n"/>
      <c r="D27" s="15">
        <f>IF(C27="","",IF(C27&gt;=9,"Promotor",IF(C27&gt;=7,"Pasivo","Detractor")))</f>
        <v/>
      </c>
      <c r="E27" s="17" t="n"/>
      <c r="F27" s="15" t="n"/>
      <c r="G27" s="15" t="n"/>
      <c r="H27" s="15" t="n"/>
      <c r="I27" s="15" t="n"/>
      <c r="J27" s="15" t="n"/>
      <c r="K27" s="17" t="n"/>
      <c r="L27" s="17" t="n"/>
      <c r="M27" s="15" t="n"/>
      <c r="N27" s="15" t="n"/>
    </row>
    <row r="28">
      <c r="A28" s="15" t="n">
        <v>24</v>
      </c>
      <c r="B28" s="16" t="n"/>
      <c r="C28" s="15" t="n"/>
      <c r="D28" s="15">
        <f>IF(C28="","",IF(C28&gt;=9,"Promotor",IF(C28&gt;=7,"Pasivo","Detractor")))</f>
        <v/>
      </c>
      <c r="E28" s="17" t="n"/>
      <c r="F28" s="15" t="n"/>
      <c r="G28" s="15" t="n"/>
      <c r="H28" s="15" t="n"/>
      <c r="I28" s="15" t="n"/>
      <c r="J28" s="15" t="n"/>
      <c r="K28" s="17" t="n"/>
      <c r="L28" s="17" t="n"/>
      <c r="M28" s="15" t="n"/>
      <c r="N28" s="15" t="n"/>
    </row>
    <row r="29">
      <c r="A29" s="15" t="n">
        <v>25</v>
      </c>
      <c r="B29" s="16" t="n"/>
      <c r="C29" s="15" t="n"/>
      <c r="D29" s="15">
        <f>IF(C29="","",IF(C29&gt;=9,"Promotor",IF(C29&gt;=7,"Pasivo","Detractor")))</f>
        <v/>
      </c>
      <c r="E29" s="17" t="n"/>
      <c r="F29" s="15" t="n"/>
      <c r="G29" s="15" t="n"/>
      <c r="H29" s="15" t="n"/>
      <c r="I29" s="15" t="n"/>
      <c r="J29" s="15" t="n"/>
      <c r="K29" s="17" t="n"/>
      <c r="L29" s="17" t="n"/>
      <c r="M29" s="15" t="n"/>
      <c r="N29" s="15" t="n"/>
    </row>
    <row r="30">
      <c r="A30" s="15" t="n">
        <v>26</v>
      </c>
      <c r="B30" s="16" t="n"/>
      <c r="C30" s="15" t="n"/>
      <c r="D30" s="15">
        <f>IF(C30="","",IF(C30&gt;=9,"Promotor",IF(C30&gt;=7,"Pasivo","Detractor")))</f>
        <v/>
      </c>
      <c r="E30" s="17" t="n"/>
      <c r="F30" s="15" t="n"/>
      <c r="G30" s="15" t="n"/>
      <c r="H30" s="15" t="n"/>
      <c r="I30" s="15" t="n"/>
      <c r="J30" s="15" t="n"/>
      <c r="K30" s="17" t="n"/>
      <c r="L30" s="17" t="n"/>
      <c r="M30" s="15" t="n"/>
      <c r="N30" s="15" t="n"/>
    </row>
    <row r="31">
      <c r="A31" s="15" t="n">
        <v>27</v>
      </c>
      <c r="B31" s="16" t="n"/>
      <c r="C31" s="15" t="n"/>
      <c r="D31" s="15">
        <f>IF(C31="","",IF(C31&gt;=9,"Promotor",IF(C31&gt;=7,"Pasivo","Detractor")))</f>
        <v/>
      </c>
      <c r="E31" s="17" t="n"/>
      <c r="F31" s="15" t="n"/>
      <c r="G31" s="15" t="n"/>
      <c r="H31" s="15" t="n"/>
      <c r="I31" s="15" t="n"/>
      <c r="J31" s="15" t="n"/>
      <c r="K31" s="17" t="n"/>
      <c r="L31" s="17" t="n"/>
      <c r="M31" s="15" t="n"/>
      <c r="N31" s="15" t="n"/>
    </row>
    <row r="32">
      <c r="A32" s="15" t="n">
        <v>28</v>
      </c>
      <c r="B32" s="16" t="n"/>
      <c r="C32" s="15" t="n"/>
      <c r="D32" s="15">
        <f>IF(C32="","",IF(C32&gt;=9,"Promotor",IF(C32&gt;=7,"Pasivo","Detractor")))</f>
        <v/>
      </c>
      <c r="E32" s="17" t="n"/>
      <c r="F32" s="15" t="n"/>
      <c r="G32" s="15" t="n"/>
      <c r="H32" s="15" t="n"/>
      <c r="I32" s="15" t="n"/>
      <c r="J32" s="15" t="n"/>
      <c r="K32" s="17" t="n"/>
      <c r="L32" s="17" t="n"/>
      <c r="M32" s="15" t="n"/>
      <c r="N32" s="15" t="n"/>
    </row>
    <row r="33">
      <c r="A33" s="15" t="n">
        <v>29</v>
      </c>
      <c r="B33" s="16" t="n"/>
      <c r="C33" s="15" t="n"/>
      <c r="D33" s="15">
        <f>IF(C33="","",IF(C33&gt;=9,"Promotor",IF(C33&gt;=7,"Pasivo","Detractor")))</f>
        <v/>
      </c>
      <c r="E33" s="17" t="n"/>
      <c r="F33" s="15" t="n"/>
      <c r="G33" s="15" t="n"/>
      <c r="H33" s="15" t="n"/>
      <c r="I33" s="15" t="n"/>
      <c r="J33" s="15" t="n"/>
      <c r="K33" s="17" t="n"/>
      <c r="L33" s="17" t="n"/>
      <c r="M33" s="15" t="n"/>
      <c r="N33" s="15" t="n"/>
    </row>
    <row r="34">
      <c r="A34" s="15" t="n">
        <v>30</v>
      </c>
      <c r="B34" s="16" t="n"/>
      <c r="C34" s="15" t="n"/>
      <c r="D34" s="15">
        <f>IF(C34="","",IF(C34&gt;=9,"Promotor",IF(C34&gt;=7,"Pasivo","Detractor")))</f>
        <v/>
      </c>
      <c r="E34" s="17" t="n"/>
      <c r="F34" s="15" t="n"/>
      <c r="G34" s="15" t="n"/>
      <c r="H34" s="15" t="n"/>
      <c r="I34" s="15" t="n"/>
      <c r="J34" s="15" t="n"/>
      <c r="K34" s="17" t="n"/>
      <c r="L34" s="17" t="n"/>
      <c r="M34" s="15" t="n"/>
      <c r="N34" s="15" t="n"/>
    </row>
    <row r="35">
      <c r="A35" s="15" t="n">
        <v>31</v>
      </c>
      <c r="B35" s="16" t="n"/>
      <c r="C35" s="15" t="n"/>
      <c r="D35" s="15">
        <f>IF(C35="","",IF(C35&gt;=9,"Promotor",IF(C35&gt;=7,"Pasivo","Detractor")))</f>
        <v/>
      </c>
      <c r="E35" s="17" t="n"/>
      <c r="F35" s="15" t="n"/>
      <c r="G35" s="15" t="n"/>
      <c r="H35" s="15" t="n"/>
      <c r="I35" s="15" t="n"/>
      <c r="J35" s="15" t="n"/>
      <c r="K35" s="17" t="n"/>
      <c r="L35" s="17" t="n"/>
      <c r="M35" s="15" t="n"/>
      <c r="N35" s="15" t="n"/>
    </row>
    <row r="36">
      <c r="A36" s="15" t="n">
        <v>32</v>
      </c>
      <c r="B36" s="16" t="n"/>
      <c r="C36" s="15" t="n"/>
      <c r="D36" s="15">
        <f>IF(C36="","",IF(C36&gt;=9,"Promotor",IF(C36&gt;=7,"Pasivo","Detractor")))</f>
        <v/>
      </c>
      <c r="E36" s="17" t="n"/>
      <c r="F36" s="15" t="n"/>
      <c r="G36" s="15" t="n"/>
      <c r="H36" s="15" t="n"/>
      <c r="I36" s="15" t="n"/>
      <c r="J36" s="15" t="n"/>
      <c r="K36" s="17" t="n"/>
      <c r="L36" s="17" t="n"/>
      <c r="M36" s="15" t="n"/>
      <c r="N36" s="15" t="n"/>
    </row>
    <row r="37">
      <c r="A37" s="15" t="n">
        <v>33</v>
      </c>
      <c r="B37" s="16" t="n"/>
      <c r="C37" s="15" t="n"/>
      <c r="D37" s="15">
        <f>IF(C37="","",IF(C37&gt;=9,"Promotor",IF(C37&gt;=7,"Pasivo","Detractor")))</f>
        <v/>
      </c>
      <c r="E37" s="17" t="n"/>
      <c r="F37" s="15" t="n"/>
      <c r="G37" s="15" t="n"/>
      <c r="H37" s="15" t="n"/>
      <c r="I37" s="15" t="n"/>
      <c r="J37" s="15" t="n"/>
      <c r="K37" s="17" t="n"/>
      <c r="L37" s="17" t="n"/>
      <c r="M37" s="15" t="n"/>
      <c r="N37" s="15" t="n"/>
    </row>
    <row r="38">
      <c r="A38" s="15" t="n">
        <v>34</v>
      </c>
      <c r="B38" s="16" t="n"/>
      <c r="C38" s="15" t="n"/>
      <c r="D38" s="15">
        <f>IF(C38="","",IF(C38&gt;=9,"Promotor",IF(C38&gt;=7,"Pasivo","Detractor")))</f>
        <v/>
      </c>
      <c r="E38" s="17" t="n"/>
      <c r="F38" s="15" t="n"/>
      <c r="G38" s="15" t="n"/>
      <c r="H38" s="15" t="n"/>
      <c r="I38" s="15" t="n"/>
      <c r="J38" s="15" t="n"/>
      <c r="K38" s="17" t="n"/>
      <c r="L38" s="17" t="n"/>
      <c r="M38" s="15" t="n"/>
      <c r="N38" s="15" t="n"/>
    </row>
    <row r="39">
      <c r="A39" s="15" t="n">
        <v>35</v>
      </c>
      <c r="B39" s="16" t="n"/>
      <c r="C39" s="15" t="n"/>
      <c r="D39" s="15">
        <f>IF(C39="","",IF(C39&gt;=9,"Promotor",IF(C39&gt;=7,"Pasivo","Detractor")))</f>
        <v/>
      </c>
      <c r="E39" s="17" t="n"/>
      <c r="F39" s="15" t="n"/>
      <c r="G39" s="15" t="n"/>
      <c r="H39" s="15" t="n"/>
      <c r="I39" s="15" t="n"/>
      <c r="J39" s="15" t="n"/>
      <c r="K39" s="17" t="n"/>
      <c r="L39" s="17" t="n"/>
      <c r="M39" s="15" t="n"/>
      <c r="N39" s="15" t="n"/>
    </row>
    <row r="40">
      <c r="A40" s="15" t="n">
        <v>36</v>
      </c>
      <c r="B40" s="16" t="n"/>
      <c r="C40" s="15" t="n"/>
      <c r="D40" s="15">
        <f>IF(C40="","",IF(C40&gt;=9,"Promotor",IF(C40&gt;=7,"Pasivo","Detractor")))</f>
        <v/>
      </c>
      <c r="E40" s="17" t="n"/>
      <c r="F40" s="15" t="n"/>
      <c r="G40" s="15" t="n"/>
      <c r="H40" s="15" t="n"/>
      <c r="I40" s="15" t="n"/>
      <c r="J40" s="15" t="n"/>
      <c r="K40" s="17" t="n"/>
      <c r="L40" s="17" t="n"/>
      <c r="M40" s="15" t="n"/>
      <c r="N40" s="15" t="n"/>
    </row>
    <row r="41">
      <c r="A41" s="15" t="n">
        <v>37</v>
      </c>
      <c r="B41" s="16" t="n"/>
      <c r="C41" s="15" t="n"/>
      <c r="D41" s="15">
        <f>IF(C41="","",IF(C41&gt;=9,"Promotor",IF(C41&gt;=7,"Pasivo","Detractor")))</f>
        <v/>
      </c>
      <c r="E41" s="17" t="n"/>
      <c r="F41" s="15" t="n"/>
      <c r="G41" s="15" t="n"/>
      <c r="H41" s="15" t="n"/>
      <c r="I41" s="15" t="n"/>
      <c r="J41" s="15" t="n"/>
      <c r="K41" s="17" t="n"/>
      <c r="L41" s="17" t="n"/>
      <c r="M41" s="15" t="n"/>
      <c r="N41" s="15" t="n"/>
    </row>
    <row r="42">
      <c r="A42" s="15" t="n">
        <v>38</v>
      </c>
      <c r="B42" s="16" t="n"/>
      <c r="C42" s="15" t="n"/>
      <c r="D42" s="15">
        <f>IF(C42="","",IF(C42&gt;=9,"Promotor",IF(C42&gt;=7,"Pasivo","Detractor")))</f>
        <v/>
      </c>
      <c r="E42" s="17" t="n"/>
      <c r="F42" s="15" t="n"/>
      <c r="G42" s="15" t="n"/>
      <c r="H42" s="15" t="n"/>
      <c r="I42" s="15" t="n"/>
      <c r="J42" s="15" t="n"/>
      <c r="K42" s="17" t="n"/>
      <c r="L42" s="17" t="n"/>
      <c r="M42" s="15" t="n"/>
      <c r="N42" s="15" t="n"/>
    </row>
    <row r="43">
      <c r="A43" s="15" t="n">
        <v>39</v>
      </c>
      <c r="B43" s="16" t="n"/>
      <c r="C43" s="15" t="n"/>
      <c r="D43" s="15">
        <f>IF(C43="","",IF(C43&gt;=9,"Promotor",IF(C43&gt;=7,"Pasivo","Detractor")))</f>
        <v/>
      </c>
      <c r="E43" s="17" t="n"/>
      <c r="F43" s="15" t="n"/>
      <c r="G43" s="15" t="n"/>
      <c r="H43" s="15" t="n"/>
      <c r="I43" s="15" t="n"/>
      <c r="J43" s="15" t="n"/>
      <c r="K43" s="17" t="n"/>
      <c r="L43" s="17" t="n"/>
      <c r="M43" s="15" t="n"/>
      <c r="N43" s="15" t="n"/>
    </row>
    <row r="44">
      <c r="A44" s="15" t="n">
        <v>40</v>
      </c>
      <c r="B44" s="16" t="n"/>
      <c r="C44" s="15" t="n"/>
      <c r="D44" s="15">
        <f>IF(C44="","",IF(C44&gt;=9,"Promotor",IF(C44&gt;=7,"Pasivo","Detractor")))</f>
        <v/>
      </c>
      <c r="E44" s="17" t="n"/>
      <c r="F44" s="15" t="n"/>
      <c r="G44" s="15" t="n"/>
      <c r="H44" s="15" t="n"/>
      <c r="I44" s="15" t="n"/>
      <c r="J44" s="15" t="n"/>
      <c r="K44" s="17" t="n"/>
      <c r="L44" s="17" t="n"/>
      <c r="M44" s="15" t="n"/>
      <c r="N44" s="15" t="n"/>
    </row>
    <row r="45">
      <c r="A45" s="15" t="n">
        <v>41</v>
      </c>
      <c r="B45" s="16" t="n"/>
      <c r="C45" s="15" t="n"/>
      <c r="D45" s="15">
        <f>IF(C45="","",IF(C45&gt;=9,"Promotor",IF(C45&gt;=7,"Pasivo","Detractor")))</f>
        <v/>
      </c>
      <c r="E45" s="17" t="n"/>
      <c r="F45" s="15" t="n"/>
      <c r="G45" s="15" t="n"/>
      <c r="H45" s="15" t="n"/>
      <c r="I45" s="15" t="n"/>
      <c r="J45" s="15" t="n"/>
      <c r="K45" s="17" t="n"/>
      <c r="L45" s="17" t="n"/>
      <c r="M45" s="15" t="n"/>
      <c r="N45" s="15" t="n"/>
    </row>
    <row r="46">
      <c r="A46" s="15" t="n">
        <v>42</v>
      </c>
      <c r="B46" s="16" t="n"/>
      <c r="C46" s="15" t="n"/>
      <c r="D46" s="15">
        <f>IF(C46="","",IF(C46&gt;=9,"Promotor",IF(C46&gt;=7,"Pasivo","Detractor")))</f>
        <v/>
      </c>
      <c r="E46" s="17" t="n"/>
      <c r="F46" s="15" t="n"/>
      <c r="G46" s="15" t="n"/>
      <c r="H46" s="15" t="n"/>
      <c r="I46" s="15" t="n"/>
      <c r="J46" s="15" t="n"/>
      <c r="K46" s="17" t="n"/>
      <c r="L46" s="17" t="n"/>
      <c r="M46" s="15" t="n"/>
      <c r="N46" s="15" t="n"/>
    </row>
    <row r="47">
      <c r="A47" s="15" t="n">
        <v>43</v>
      </c>
      <c r="B47" s="16" t="n"/>
      <c r="C47" s="15" t="n"/>
      <c r="D47" s="15">
        <f>IF(C47="","",IF(C47&gt;=9,"Promotor",IF(C47&gt;=7,"Pasivo","Detractor")))</f>
        <v/>
      </c>
      <c r="E47" s="17" t="n"/>
      <c r="F47" s="15" t="n"/>
      <c r="G47" s="15" t="n"/>
      <c r="H47" s="15" t="n"/>
      <c r="I47" s="15" t="n"/>
      <c r="J47" s="15" t="n"/>
      <c r="K47" s="17" t="n"/>
      <c r="L47" s="17" t="n"/>
      <c r="M47" s="15" t="n"/>
      <c r="N47" s="15" t="n"/>
    </row>
    <row r="48">
      <c r="A48" s="15" t="n">
        <v>44</v>
      </c>
      <c r="B48" s="16" t="n"/>
      <c r="C48" s="15" t="n"/>
      <c r="D48" s="15">
        <f>IF(C48="","",IF(C48&gt;=9,"Promotor",IF(C48&gt;=7,"Pasivo","Detractor")))</f>
        <v/>
      </c>
      <c r="E48" s="17" t="n"/>
      <c r="F48" s="15" t="n"/>
      <c r="G48" s="15" t="n"/>
      <c r="H48" s="15" t="n"/>
      <c r="I48" s="15" t="n"/>
      <c r="J48" s="15" t="n"/>
      <c r="K48" s="17" t="n"/>
      <c r="L48" s="17" t="n"/>
      <c r="M48" s="15" t="n"/>
      <c r="N48" s="15" t="n"/>
    </row>
    <row r="49">
      <c r="A49" s="15" t="n">
        <v>45</v>
      </c>
      <c r="B49" s="16" t="n"/>
      <c r="C49" s="15" t="n"/>
      <c r="D49" s="15">
        <f>IF(C49="","",IF(C49&gt;=9,"Promotor",IF(C49&gt;=7,"Pasivo","Detractor")))</f>
        <v/>
      </c>
      <c r="E49" s="17" t="n"/>
      <c r="F49" s="15" t="n"/>
      <c r="G49" s="15" t="n"/>
      <c r="H49" s="15" t="n"/>
      <c r="I49" s="15" t="n"/>
      <c r="J49" s="15" t="n"/>
      <c r="K49" s="17" t="n"/>
      <c r="L49" s="17" t="n"/>
      <c r="M49" s="15" t="n"/>
      <c r="N49" s="15" t="n"/>
    </row>
    <row r="50">
      <c r="A50" s="15" t="n">
        <v>46</v>
      </c>
      <c r="B50" s="16" t="n"/>
      <c r="C50" s="15" t="n"/>
      <c r="D50" s="15">
        <f>IF(C50="","",IF(C50&gt;=9,"Promotor",IF(C50&gt;=7,"Pasivo","Detractor")))</f>
        <v/>
      </c>
      <c r="E50" s="17" t="n"/>
      <c r="F50" s="15" t="n"/>
      <c r="G50" s="15" t="n"/>
      <c r="H50" s="15" t="n"/>
      <c r="I50" s="15" t="n"/>
      <c r="J50" s="15" t="n"/>
      <c r="K50" s="17" t="n"/>
      <c r="L50" s="17" t="n"/>
      <c r="M50" s="15" t="n"/>
      <c r="N50" s="15" t="n"/>
    </row>
    <row r="51">
      <c r="A51" s="15" t="n">
        <v>47</v>
      </c>
      <c r="B51" s="16" t="n"/>
      <c r="C51" s="15" t="n"/>
      <c r="D51" s="15">
        <f>IF(C51="","",IF(C51&gt;=9,"Promotor",IF(C51&gt;=7,"Pasivo","Detractor")))</f>
        <v/>
      </c>
      <c r="E51" s="17" t="n"/>
      <c r="F51" s="15" t="n"/>
      <c r="G51" s="15" t="n"/>
      <c r="H51" s="15" t="n"/>
      <c r="I51" s="15" t="n"/>
      <c r="J51" s="15" t="n"/>
      <c r="K51" s="17" t="n"/>
      <c r="L51" s="17" t="n"/>
      <c r="M51" s="15" t="n"/>
      <c r="N51" s="15" t="n"/>
    </row>
    <row r="52">
      <c r="A52" s="15" t="n">
        <v>48</v>
      </c>
      <c r="B52" s="16" t="n"/>
      <c r="C52" s="15" t="n"/>
      <c r="D52" s="15">
        <f>IF(C52="","",IF(C52&gt;=9,"Promotor",IF(C52&gt;=7,"Pasivo","Detractor")))</f>
        <v/>
      </c>
      <c r="E52" s="17" t="n"/>
      <c r="F52" s="15" t="n"/>
      <c r="G52" s="15" t="n"/>
      <c r="H52" s="15" t="n"/>
      <c r="I52" s="15" t="n"/>
      <c r="J52" s="15" t="n"/>
      <c r="K52" s="17" t="n"/>
      <c r="L52" s="17" t="n"/>
      <c r="M52" s="15" t="n"/>
      <c r="N52" s="15" t="n"/>
    </row>
    <row r="53">
      <c r="A53" s="15" t="n">
        <v>49</v>
      </c>
      <c r="B53" s="16" t="n"/>
      <c r="C53" s="15" t="n"/>
      <c r="D53" s="15">
        <f>IF(C53="","",IF(C53&gt;=9,"Promotor",IF(C53&gt;=7,"Pasivo","Detractor")))</f>
        <v/>
      </c>
      <c r="E53" s="17" t="n"/>
      <c r="F53" s="15" t="n"/>
      <c r="G53" s="15" t="n"/>
      <c r="H53" s="15" t="n"/>
      <c r="I53" s="15" t="n"/>
      <c r="J53" s="15" t="n"/>
      <c r="K53" s="17" t="n"/>
      <c r="L53" s="17" t="n"/>
      <c r="M53" s="15" t="n"/>
      <c r="N53" s="15" t="n"/>
    </row>
    <row r="54">
      <c r="A54" s="15" t="n">
        <v>50</v>
      </c>
      <c r="B54" s="16" t="n"/>
      <c r="C54" s="15" t="n"/>
      <c r="D54" s="15">
        <f>IF(C54="","",IF(C54&gt;=9,"Promotor",IF(C54&gt;=7,"Pasivo","Detractor")))</f>
        <v/>
      </c>
      <c r="E54" s="17" t="n"/>
      <c r="F54" s="15" t="n"/>
      <c r="G54" s="15" t="n"/>
      <c r="H54" s="15" t="n"/>
      <c r="I54" s="15" t="n"/>
      <c r="J54" s="15" t="n"/>
      <c r="K54" s="17" t="n"/>
      <c r="L54" s="17" t="n"/>
      <c r="M54" s="15" t="n"/>
      <c r="N54" s="15" t="n"/>
    </row>
    <row r="55">
      <c r="A55" s="15" t="n">
        <v>51</v>
      </c>
      <c r="B55" s="16" t="n"/>
      <c r="C55" s="15" t="n"/>
      <c r="D55" s="15">
        <f>IF(C55="","",IF(C55&gt;=9,"Promotor",IF(C55&gt;=7,"Pasivo","Detractor")))</f>
        <v/>
      </c>
      <c r="E55" s="17" t="n"/>
      <c r="F55" s="15" t="n"/>
      <c r="G55" s="15" t="n"/>
      <c r="H55" s="15" t="n"/>
      <c r="I55" s="15" t="n"/>
      <c r="J55" s="15" t="n"/>
      <c r="K55" s="17" t="n"/>
      <c r="L55" s="17" t="n"/>
      <c r="M55" s="15" t="n"/>
      <c r="N55" s="15" t="n"/>
    </row>
    <row r="56">
      <c r="A56" s="15" t="n">
        <v>52</v>
      </c>
      <c r="B56" s="16" t="n"/>
      <c r="C56" s="15" t="n"/>
      <c r="D56" s="15">
        <f>IF(C56="","",IF(C56&gt;=9,"Promotor",IF(C56&gt;=7,"Pasivo","Detractor")))</f>
        <v/>
      </c>
      <c r="E56" s="17" t="n"/>
      <c r="F56" s="15" t="n"/>
      <c r="G56" s="15" t="n"/>
      <c r="H56" s="15" t="n"/>
      <c r="I56" s="15" t="n"/>
      <c r="J56" s="15" t="n"/>
      <c r="K56" s="17" t="n"/>
      <c r="L56" s="17" t="n"/>
      <c r="M56" s="15" t="n"/>
      <c r="N56" s="15" t="n"/>
    </row>
    <row r="57">
      <c r="A57" s="15" t="n">
        <v>53</v>
      </c>
      <c r="B57" s="16" t="n"/>
      <c r="C57" s="15" t="n"/>
      <c r="D57" s="15">
        <f>IF(C57="","",IF(C57&gt;=9,"Promotor",IF(C57&gt;=7,"Pasivo","Detractor")))</f>
        <v/>
      </c>
      <c r="E57" s="17" t="n"/>
      <c r="F57" s="15" t="n"/>
      <c r="G57" s="15" t="n"/>
      <c r="H57" s="15" t="n"/>
      <c r="I57" s="15" t="n"/>
      <c r="J57" s="15" t="n"/>
      <c r="K57" s="17" t="n"/>
      <c r="L57" s="17" t="n"/>
      <c r="M57" s="15" t="n"/>
      <c r="N57" s="15" t="n"/>
    </row>
    <row r="58">
      <c r="A58" s="15" t="n">
        <v>54</v>
      </c>
      <c r="B58" s="16" t="n"/>
      <c r="C58" s="15" t="n"/>
      <c r="D58" s="15">
        <f>IF(C58="","",IF(C58&gt;=9,"Promotor",IF(C58&gt;=7,"Pasivo","Detractor")))</f>
        <v/>
      </c>
      <c r="E58" s="17" t="n"/>
      <c r="F58" s="15" t="n"/>
      <c r="G58" s="15" t="n"/>
      <c r="H58" s="15" t="n"/>
      <c r="I58" s="15" t="n"/>
      <c r="J58" s="15" t="n"/>
      <c r="K58" s="17" t="n"/>
      <c r="L58" s="17" t="n"/>
      <c r="M58" s="15" t="n"/>
      <c r="N58" s="15" t="n"/>
    </row>
    <row r="59">
      <c r="A59" s="15" t="n">
        <v>55</v>
      </c>
      <c r="B59" s="16" t="n"/>
      <c r="C59" s="15" t="n"/>
      <c r="D59" s="15">
        <f>IF(C59="","",IF(C59&gt;=9,"Promotor",IF(C59&gt;=7,"Pasivo","Detractor")))</f>
        <v/>
      </c>
      <c r="E59" s="17" t="n"/>
      <c r="F59" s="15" t="n"/>
      <c r="G59" s="15" t="n"/>
      <c r="H59" s="15" t="n"/>
      <c r="I59" s="15" t="n"/>
      <c r="J59" s="15" t="n"/>
      <c r="K59" s="17" t="n"/>
      <c r="L59" s="17" t="n"/>
      <c r="M59" s="15" t="n"/>
      <c r="N59" s="15" t="n"/>
    </row>
    <row r="60">
      <c r="A60" s="15" t="n">
        <v>56</v>
      </c>
      <c r="B60" s="16" t="n"/>
      <c r="C60" s="15" t="n"/>
      <c r="D60" s="15">
        <f>IF(C60="","",IF(C60&gt;=9,"Promotor",IF(C60&gt;=7,"Pasivo","Detractor")))</f>
        <v/>
      </c>
      <c r="E60" s="17" t="n"/>
      <c r="F60" s="15" t="n"/>
      <c r="G60" s="15" t="n"/>
      <c r="H60" s="15" t="n"/>
      <c r="I60" s="15" t="n"/>
      <c r="J60" s="15" t="n"/>
      <c r="K60" s="17" t="n"/>
      <c r="L60" s="17" t="n"/>
      <c r="M60" s="15" t="n"/>
      <c r="N60" s="15" t="n"/>
    </row>
    <row r="61">
      <c r="A61" s="15" t="n">
        <v>57</v>
      </c>
      <c r="B61" s="16" t="n"/>
      <c r="C61" s="15" t="n"/>
      <c r="D61" s="15">
        <f>IF(C61="","",IF(C61&gt;=9,"Promotor",IF(C61&gt;=7,"Pasivo","Detractor")))</f>
        <v/>
      </c>
      <c r="E61" s="17" t="n"/>
      <c r="F61" s="15" t="n"/>
      <c r="G61" s="15" t="n"/>
      <c r="H61" s="15" t="n"/>
      <c r="I61" s="15" t="n"/>
      <c r="J61" s="15" t="n"/>
      <c r="K61" s="17" t="n"/>
      <c r="L61" s="17" t="n"/>
      <c r="M61" s="15" t="n"/>
      <c r="N61" s="15" t="n"/>
    </row>
    <row r="62">
      <c r="A62" s="15" t="n">
        <v>58</v>
      </c>
      <c r="B62" s="16" t="n"/>
      <c r="C62" s="15" t="n"/>
      <c r="D62" s="15">
        <f>IF(C62="","",IF(C62&gt;=9,"Promotor",IF(C62&gt;=7,"Pasivo","Detractor")))</f>
        <v/>
      </c>
      <c r="E62" s="17" t="n"/>
      <c r="F62" s="15" t="n"/>
      <c r="G62" s="15" t="n"/>
      <c r="H62" s="15" t="n"/>
      <c r="I62" s="15" t="n"/>
      <c r="J62" s="15" t="n"/>
      <c r="K62" s="17" t="n"/>
      <c r="L62" s="17" t="n"/>
      <c r="M62" s="15" t="n"/>
      <c r="N62" s="15" t="n"/>
    </row>
    <row r="63">
      <c r="A63" s="15" t="n">
        <v>59</v>
      </c>
      <c r="B63" s="16" t="n"/>
      <c r="C63" s="15" t="n"/>
      <c r="D63" s="15">
        <f>IF(C63="","",IF(C63&gt;=9,"Promotor",IF(C63&gt;=7,"Pasivo","Detractor")))</f>
        <v/>
      </c>
      <c r="E63" s="17" t="n"/>
      <c r="F63" s="15" t="n"/>
      <c r="G63" s="15" t="n"/>
      <c r="H63" s="15" t="n"/>
      <c r="I63" s="15" t="n"/>
      <c r="J63" s="15" t="n"/>
      <c r="K63" s="17" t="n"/>
      <c r="L63" s="17" t="n"/>
      <c r="M63" s="15" t="n"/>
      <c r="N63" s="15" t="n"/>
    </row>
    <row r="64">
      <c r="A64" s="15" t="n">
        <v>60</v>
      </c>
      <c r="B64" s="16" t="n"/>
      <c r="C64" s="15" t="n"/>
      <c r="D64" s="15">
        <f>IF(C64="","",IF(C64&gt;=9,"Promotor",IF(C64&gt;=7,"Pasivo","Detractor")))</f>
        <v/>
      </c>
      <c r="E64" s="17" t="n"/>
      <c r="F64" s="15" t="n"/>
      <c r="G64" s="15" t="n"/>
      <c r="H64" s="15" t="n"/>
      <c r="I64" s="15" t="n"/>
      <c r="J64" s="15" t="n"/>
      <c r="K64" s="17" t="n"/>
      <c r="L64" s="17" t="n"/>
      <c r="M64" s="15" t="n"/>
      <c r="N64" s="15" t="n"/>
    </row>
    <row r="65">
      <c r="A65" s="15" t="n">
        <v>61</v>
      </c>
      <c r="B65" s="16" t="n"/>
      <c r="C65" s="15" t="n"/>
      <c r="D65" s="15">
        <f>IF(C65="","",IF(C65&gt;=9,"Promotor",IF(C65&gt;=7,"Pasivo","Detractor")))</f>
        <v/>
      </c>
      <c r="E65" s="17" t="n"/>
      <c r="F65" s="15" t="n"/>
      <c r="G65" s="15" t="n"/>
      <c r="H65" s="15" t="n"/>
      <c r="I65" s="15" t="n"/>
      <c r="J65" s="15" t="n"/>
      <c r="K65" s="17" t="n"/>
      <c r="L65" s="17" t="n"/>
      <c r="M65" s="15" t="n"/>
      <c r="N65" s="15" t="n"/>
    </row>
    <row r="66">
      <c r="A66" s="15" t="n">
        <v>62</v>
      </c>
      <c r="B66" s="16" t="n"/>
      <c r="C66" s="15" t="n"/>
      <c r="D66" s="15">
        <f>IF(C66="","",IF(C66&gt;=9,"Promotor",IF(C66&gt;=7,"Pasivo","Detractor")))</f>
        <v/>
      </c>
      <c r="E66" s="17" t="n"/>
      <c r="F66" s="15" t="n"/>
      <c r="G66" s="15" t="n"/>
      <c r="H66" s="15" t="n"/>
      <c r="I66" s="15" t="n"/>
      <c r="J66" s="15" t="n"/>
      <c r="K66" s="17" t="n"/>
      <c r="L66" s="17" t="n"/>
      <c r="M66" s="15" t="n"/>
      <c r="N66" s="15" t="n"/>
    </row>
    <row r="67">
      <c r="A67" s="15" t="n">
        <v>63</v>
      </c>
      <c r="B67" s="16" t="n"/>
      <c r="C67" s="15" t="n"/>
      <c r="D67" s="15">
        <f>IF(C67="","",IF(C67&gt;=9,"Promotor",IF(C67&gt;=7,"Pasivo","Detractor")))</f>
        <v/>
      </c>
      <c r="E67" s="17" t="n"/>
      <c r="F67" s="15" t="n"/>
      <c r="G67" s="15" t="n"/>
      <c r="H67" s="15" t="n"/>
      <c r="I67" s="15" t="n"/>
      <c r="J67" s="15" t="n"/>
      <c r="K67" s="17" t="n"/>
      <c r="L67" s="17" t="n"/>
      <c r="M67" s="15" t="n"/>
      <c r="N67" s="15" t="n"/>
    </row>
    <row r="68">
      <c r="A68" s="15" t="n">
        <v>64</v>
      </c>
      <c r="B68" s="16" t="n"/>
      <c r="C68" s="15" t="n"/>
      <c r="D68" s="15">
        <f>IF(C68="","",IF(C68&gt;=9,"Promotor",IF(C68&gt;=7,"Pasivo","Detractor")))</f>
        <v/>
      </c>
      <c r="E68" s="17" t="n"/>
      <c r="F68" s="15" t="n"/>
      <c r="G68" s="15" t="n"/>
      <c r="H68" s="15" t="n"/>
      <c r="I68" s="15" t="n"/>
      <c r="J68" s="15" t="n"/>
      <c r="K68" s="17" t="n"/>
      <c r="L68" s="17" t="n"/>
      <c r="M68" s="15" t="n"/>
      <c r="N68" s="15" t="n"/>
    </row>
    <row r="69">
      <c r="A69" s="15" t="n">
        <v>65</v>
      </c>
      <c r="B69" s="16" t="n"/>
      <c r="C69" s="15" t="n"/>
      <c r="D69" s="15">
        <f>IF(C69="","",IF(C69&gt;=9,"Promotor",IF(C69&gt;=7,"Pasivo","Detractor")))</f>
        <v/>
      </c>
      <c r="E69" s="17" t="n"/>
      <c r="F69" s="15" t="n"/>
      <c r="G69" s="15" t="n"/>
      <c r="H69" s="15" t="n"/>
      <c r="I69" s="15" t="n"/>
      <c r="J69" s="15" t="n"/>
      <c r="K69" s="17" t="n"/>
      <c r="L69" s="17" t="n"/>
      <c r="M69" s="15" t="n"/>
      <c r="N69" s="15" t="n"/>
    </row>
    <row r="70">
      <c r="A70" s="15" t="n">
        <v>66</v>
      </c>
      <c r="B70" s="16" t="n"/>
      <c r="C70" s="15" t="n"/>
      <c r="D70" s="15">
        <f>IF(C70="","",IF(C70&gt;=9,"Promotor",IF(C70&gt;=7,"Pasivo","Detractor")))</f>
        <v/>
      </c>
      <c r="E70" s="17" t="n"/>
      <c r="F70" s="15" t="n"/>
      <c r="G70" s="15" t="n"/>
      <c r="H70" s="15" t="n"/>
      <c r="I70" s="15" t="n"/>
      <c r="J70" s="15" t="n"/>
      <c r="K70" s="17" t="n"/>
      <c r="L70" s="17" t="n"/>
      <c r="M70" s="15" t="n"/>
      <c r="N70" s="15" t="n"/>
    </row>
    <row r="71">
      <c r="A71" s="15" t="n">
        <v>67</v>
      </c>
      <c r="B71" s="16" t="n"/>
      <c r="C71" s="15" t="n"/>
      <c r="D71" s="15">
        <f>IF(C71="","",IF(C71&gt;=9,"Promotor",IF(C71&gt;=7,"Pasivo","Detractor")))</f>
        <v/>
      </c>
      <c r="E71" s="17" t="n"/>
      <c r="F71" s="15" t="n"/>
      <c r="G71" s="15" t="n"/>
      <c r="H71" s="15" t="n"/>
      <c r="I71" s="15" t="n"/>
      <c r="J71" s="15" t="n"/>
      <c r="K71" s="17" t="n"/>
      <c r="L71" s="17" t="n"/>
      <c r="M71" s="15" t="n"/>
      <c r="N71" s="15" t="n"/>
    </row>
    <row r="72">
      <c r="A72" s="15" t="n">
        <v>68</v>
      </c>
      <c r="B72" s="16" t="n"/>
      <c r="C72" s="15" t="n"/>
      <c r="D72" s="15">
        <f>IF(C72="","",IF(C72&gt;=9,"Promotor",IF(C72&gt;=7,"Pasivo","Detractor")))</f>
        <v/>
      </c>
      <c r="E72" s="17" t="n"/>
      <c r="F72" s="15" t="n"/>
      <c r="G72" s="15" t="n"/>
      <c r="H72" s="15" t="n"/>
      <c r="I72" s="15" t="n"/>
      <c r="J72" s="15" t="n"/>
      <c r="K72" s="17" t="n"/>
      <c r="L72" s="17" t="n"/>
      <c r="M72" s="15" t="n"/>
      <c r="N72" s="15" t="n"/>
    </row>
    <row r="73">
      <c r="A73" s="15" t="n">
        <v>69</v>
      </c>
      <c r="B73" s="16" t="n"/>
      <c r="C73" s="15" t="n"/>
      <c r="D73" s="15">
        <f>IF(C73="","",IF(C73&gt;=9,"Promotor",IF(C73&gt;=7,"Pasivo","Detractor")))</f>
        <v/>
      </c>
      <c r="E73" s="17" t="n"/>
      <c r="F73" s="15" t="n"/>
      <c r="G73" s="15" t="n"/>
      <c r="H73" s="15" t="n"/>
      <c r="I73" s="15" t="n"/>
      <c r="J73" s="15" t="n"/>
      <c r="K73" s="17" t="n"/>
      <c r="L73" s="17" t="n"/>
      <c r="M73" s="15" t="n"/>
      <c r="N73" s="15" t="n"/>
    </row>
    <row r="74">
      <c r="A74" s="15" t="n">
        <v>70</v>
      </c>
      <c r="B74" s="16" t="n"/>
      <c r="C74" s="15" t="n"/>
      <c r="D74" s="15">
        <f>IF(C74="","",IF(C74&gt;=9,"Promotor",IF(C74&gt;=7,"Pasivo","Detractor")))</f>
        <v/>
      </c>
      <c r="E74" s="17" t="n"/>
      <c r="F74" s="15" t="n"/>
      <c r="G74" s="15" t="n"/>
      <c r="H74" s="15" t="n"/>
      <c r="I74" s="15" t="n"/>
      <c r="J74" s="15" t="n"/>
      <c r="K74" s="17" t="n"/>
      <c r="L74" s="17" t="n"/>
      <c r="M74" s="15" t="n"/>
      <c r="N74" s="15" t="n"/>
    </row>
    <row r="75">
      <c r="A75" s="15" t="n">
        <v>71</v>
      </c>
      <c r="B75" s="16" t="n"/>
      <c r="C75" s="15" t="n"/>
      <c r="D75" s="15">
        <f>IF(C75="","",IF(C75&gt;=9,"Promotor",IF(C75&gt;=7,"Pasivo","Detractor")))</f>
        <v/>
      </c>
      <c r="E75" s="17" t="n"/>
      <c r="F75" s="15" t="n"/>
      <c r="G75" s="15" t="n"/>
      <c r="H75" s="15" t="n"/>
      <c r="I75" s="15" t="n"/>
      <c r="J75" s="15" t="n"/>
      <c r="K75" s="17" t="n"/>
      <c r="L75" s="17" t="n"/>
      <c r="M75" s="15" t="n"/>
      <c r="N75" s="15" t="n"/>
    </row>
    <row r="76">
      <c r="A76" s="15" t="n">
        <v>72</v>
      </c>
      <c r="B76" s="16" t="n"/>
      <c r="C76" s="15" t="n"/>
      <c r="D76" s="15">
        <f>IF(C76="","",IF(C76&gt;=9,"Promotor",IF(C76&gt;=7,"Pasivo","Detractor")))</f>
        <v/>
      </c>
      <c r="E76" s="17" t="n"/>
      <c r="F76" s="15" t="n"/>
      <c r="G76" s="15" t="n"/>
      <c r="H76" s="15" t="n"/>
      <c r="I76" s="15" t="n"/>
      <c r="J76" s="15" t="n"/>
      <c r="K76" s="17" t="n"/>
      <c r="L76" s="17" t="n"/>
      <c r="M76" s="15" t="n"/>
      <c r="N76" s="15" t="n"/>
    </row>
    <row r="77">
      <c r="A77" s="15" t="n">
        <v>73</v>
      </c>
      <c r="B77" s="16" t="n"/>
      <c r="C77" s="15" t="n"/>
      <c r="D77" s="15">
        <f>IF(C77="","",IF(C77&gt;=9,"Promotor",IF(C77&gt;=7,"Pasivo","Detractor")))</f>
        <v/>
      </c>
      <c r="E77" s="17" t="n"/>
      <c r="F77" s="15" t="n"/>
      <c r="G77" s="15" t="n"/>
      <c r="H77" s="15" t="n"/>
      <c r="I77" s="15" t="n"/>
      <c r="J77" s="15" t="n"/>
      <c r="K77" s="17" t="n"/>
      <c r="L77" s="17" t="n"/>
      <c r="M77" s="15" t="n"/>
      <c r="N77" s="15" t="n"/>
    </row>
    <row r="78">
      <c r="A78" s="15" t="n">
        <v>74</v>
      </c>
      <c r="B78" s="16" t="n"/>
      <c r="C78" s="15" t="n"/>
      <c r="D78" s="15">
        <f>IF(C78="","",IF(C78&gt;=9,"Promotor",IF(C78&gt;=7,"Pasivo","Detractor")))</f>
        <v/>
      </c>
      <c r="E78" s="17" t="n"/>
      <c r="F78" s="15" t="n"/>
      <c r="G78" s="15" t="n"/>
      <c r="H78" s="15" t="n"/>
      <c r="I78" s="15" t="n"/>
      <c r="J78" s="15" t="n"/>
      <c r="K78" s="17" t="n"/>
      <c r="L78" s="17" t="n"/>
      <c r="M78" s="15" t="n"/>
      <c r="N78" s="15" t="n"/>
    </row>
    <row r="79">
      <c r="A79" s="15" t="n">
        <v>75</v>
      </c>
      <c r="B79" s="16" t="n"/>
      <c r="C79" s="15" t="n"/>
      <c r="D79" s="15">
        <f>IF(C79="","",IF(C79&gt;=9,"Promotor",IF(C79&gt;=7,"Pasivo","Detractor")))</f>
        <v/>
      </c>
      <c r="E79" s="17" t="n"/>
      <c r="F79" s="15" t="n"/>
      <c r="G79" s="15" t="n"/>
      <c r="H79" s="15" t="n"/>
      <c r="I79" s="15" t="n"/>
      <c r="J79" s="15" t="n"/>
      <c r="K79" s="17" t="n"/>
      <c r="L79" s="17" t="n"/>
      <c r="M79" s="15" t="n"/>
      <c r="N79" s="15" t="n"/>
    </row>
    <row r="80">
      <c r="A80" s="15" t="n">
        <v>76</v>
      </c>
      <c r="B80" s="16" t="n"/>
      <c r="C80" s="15" t="n"/>
      <c r="D80" s="15">
        <f>IF(C80="","",IF(C80&gt;=9,"Promotor",IF(C80&gt;=7,"Pasivo","Detractor")))</f>
        <v/>
      </c>
      <c r="E80" s="17" t="n"/>
      <c r="F80" s="15" t="n"/>
      <c r="G80" s="15" t="n"/>
      <c r="H80" s="15" t="n"/>
      <c r="I80" s="15" t="n"/>
      <c r="J80" s="15" t="n"/>
      <c r="K80" s="17" t="n"/>
      <c r="L80" s="17" t="n"/>
      <c r="M80" s="15" t="n"/>
      <c r="N80" s="15" t="n"/>
    </row>
    <row r="81">
      <c r="A81" s="15" t="n">
        <v>77</v>
      </c>
      <c r="B81" s="16" t="n"/>
      <c r="C81" s="15" t="n"/>
      <c r="D81" s="15">
        <f>IF(C81="","",IF(C81&gt;=9,"Promotor",IF(C81&gt;=7,"Pasivo","Detractor")))</f>
        <v/>
      </c>
      <c r="E81" s="17" t="n"/>
      <c r="F81" s="15" t="n"/>
      <c r="G81" s="15" t="n"/>
      <c r="H81" s="15" t="n"/>
      <c r="I81" s="15" t="n"/>
      <c r="J81" s="15" t="n"/>
      <c r="K81" s="17" t="n"/>
      <c r="L81" s="17" t="n"/>
      <c r="M81" s="15" t="n"/>
      <c r="N81" s="15" t="n"/>
    </row>
    <row r="82">
      <c r="A82" s="15" t="n">
        <v>78</v>
      </c>
      <c r="B82" s="16" t="n"/>
      <c r="C82" s="15" t="n"/>
      <c r="D82" s="15">
        <f>IF(C82="","",IF(C82&gt;=9,"Promotor",IF(C82&gt;=7,"Pasivo","Detractor")))</f>
        <v/>
      </c>
      <c r="E82" s="17" t="n"/>
      <c r="F82" s="15" t="n"/>
      <c r="G82" s="15" t="n"/>
      <c r="H82" s="15" t="n"/>
      <c r="I82" s="15" t="n"/>
      <c r="J82" s="15" t="n"/>
      <c r="K82" s="17" t="n"/>
      <c r="L82" s="17" t="n"/>
      <c r="M82" s="15" t="n"/>
      <c r="N82" s="15" t="n"/>
    </row>
    <row r="83">
      <c r="A83" s="15" t="n">
        <v>79</v>
      </c>
      <c r="B83" s="16" t="n"/>
      <c r="C83" s="15" t="n"/>
      <c r="D83" s="15">
        <f>IF(C83="","",IF(C83&gt;=9,"Promotor",IF(C83&gt;=7,"Pasivo","Detractor")))</f>
        <v/>
      </c>
      <c r="E83" s="17" t="n"/>
      <c r="F83" s="15" t="n"/>
      <c r="G83" s="15" t="n"/>
      <c r="H83" s="15" t="n"/>
      <c r="I83" s="15" t="n"/>
      <c r="J83" s="15" t="n"/>
      <c r="K83" s="17" t="n"/>
      <c r="L83" s="17" t="n"/>
      <c r="M83" s="15" t="n"/>
      <c r="N83" s="15" t="n"/>
    </row>
    <row r="84">
      <c r="A84" s="15" t="n">
        <v>80</v>
      </c>
      <c r="B84" s="16" t="n"/>
      <c r="C84" s="15" t="n"/>
      <c r="D84" s="15">
        <f>IF(C84="","",IF(C84&gt;=9,"Promotor",IF(C84&gt;=7,"Pasivo","Detractor")))</f>
        <v/>
      </c>
      <c r="E84" s="17" t="n"/>
      <c r="F84" s="15" t="n"/>
      <c r="G84" s="15" t="n"/>
      <c r="H84" s="15" t="n"/>
      <c r="I84" s="15" t="n"/>
      <c r="J84" s="15" t="n"/>
      <c r="K84" s="17" t="n"/>
      <c r="L84" s="17" t="n"/>
      <c r="M84" s="15" t="n"/>
      <c r="N84" s="15" t="n"/>
    </row>
    <row r="85">
      <c r="A85" s="15" t="n">
        <v>81</v>
      </c>
      <c r="B85" s="16" t="n"/>
      <c r="C85" s="15" t="n"/>
      <c r="D85" s="15">
        <f>IF(C85="","",IF(C85&gt;=9,"Promotor",IF(C85&gt;=7,"Pasivo","Detractor")))</f>
        <v/>
      </c>
      <c r="E85" s="17" t="n"/>
      <c r="F85" s="15" t="n"/>
      <c r="G85" s="15" t="n"/>
      <c r="H85" s="15" t="n"/>
      <c r="I85" s="15" t="n"/>
      <c r="J85" s="15" t="n"/>
      <c r="K85" s="17" t="n"/>
      <c r="L85" s="17" t="n"/>
      <c r="M85" s="15" t="n"/>
      <c r="N85" s="15" t="n"/>
    </row>
    <row r="86">
      <c r="A86" s="15" t="n">
        <v>82</v>
      </c>
      <c r="B86" s="16" t="n"/>
      <c r="C86" s="15" t="n"/>
      <c r="D86" s="15">
        <f>IF(C86="","",IF(C86&gt;=9,"Promotor",IF(C86&gt;=7,"Pasivo","Detractor")))</f>
        <v/>
      </c>
      <c r="E86" s="17" t="n"/>
      <c r="F86" s="15" t="n"/>
      <c r="G86" s="15" t="n"/>
      <c r="H86" s="15" t="n"/>
      <c r="I86" s="15" t="n"/>
      <c r="J86" s="15" t="n"/>
      <c r="K86" s="17" t="n"/>
      <c r="L86" s="17" t="n"/>
      <c r="M86" s="15" t="n"/>
      <c r="N86" s="15" t="n"/>
    </row>
    <row r="87">
      <c r="A87" s="15" t="n">
        <v>83</v>
      </c>
      <c r="B87" s="16" t="n"/>
      <c r="C87" s="15" t="n"/>
      <c r="D87" s="15">
        <f>IF(C87="","",IF(C87&gt;=9,"Promotor",IF(C87&gt;=7,"Pasivo","Detractor")))</f>
        <v/>
      </c>
      <c r="E87" s="17" t="n"/>
      <c r="F87" s="15" t="n"/>
      <c r="G87" s="15" t="n"/>
      <c r="H87" s="15" t="n"/>
      <c r="I87" s="15" t="n"/>
      <c r="J87" s="15" t="n"/>
      <c r="K87" s="17" t="n"/>
      <c r="L87" s="17" t="n"/>
      <c r="M87" s="15" t="n"/>
      <c r="N87" s="15" t="n"/>
    </row>
    <row r="88">
      <c r="A88" s="15" t="n">
        <v>84</v>
      </c>
      <c r="B88" s="16" t="n"/>
      <c r="C88" s="15" t="n"/>
      <c r="D88" s="15">
        <f>IF(C88="","",IF(C88&gt;=9,"Promotor",IF(C88&gt;=7,"Pasivo","Detractor")))</f>
        <v/>
      </c>
      <c r="E88" s="17" t="n"/>
      <c r="F88" s="15" t="n"/>
      <c r="G88" s="15" t="n"/>
      <c r="H88" s="15" t="n"/>
      <c r="I88" s="15" t="n"/>
      <c r="J88" s="15" t="n"/>
      <c r="K88" s="17" t="n"/>
      <c r="L88" s="17" t="n"/>
      <c r="M88" s="15" t="n"/>
      <c r="N88" s="15" t="n"/>
    </row>
    <row r="89">
      <c r="A89" s="15" t="n">
        <v>85</v>
      </c>
      <c r="B89" s="16" t="n"/>
      <c r="C89" s="15" t="n"/>
      <c r="D89" s="15">
        <f>IF(C89="","",IF(C89&gt;=9,"Promotor",IF(C89&gt;=7,"Pasivo","Detractor")))</f>
        <v/>
      </c>
      <c r="E89" s="17" t="n"/>
      <c r="F89" s="15" t="n"/>
      <c r="G89" s="15" t="n"/>
      <c r="H89" s="15" t="n"/>
      <c r="I89" s="15" t="n"/>
      <c r="J89" s="15" t="n"/>
      <c r="K89" s="17" t="n"/>
      <c r="L89" s="17" t="n"/>
      <c r="M89" s="15" t="n"/>
      <c r="N89" s="15" t="n"/>
    </row>
    <row r="90">
      <c r="A90" s="15" t="n">
        <v>86</v>
      </c>
      <c r="B90" s="16" t="n"/>
      <c r="C90" s="15" t="n"/>
      <c r="D90" s="15">
        <f>IF(C90="","",IF(C90&gt;=9,"Promotor",IF(C90&gt;=7,"Pasivo","Detractor")))</f>
        <v/>
      </c>
      <c r="E90" s="17" t="n"/>
      <c r="F90" s="15" t="n"/>
      <c r="G90" s="15" t="n"/>
      <c r="H90" s="15" t="n"/>
      <c r="I90" s="15" t="n"/>
      <c r="J90" s="15" t="n"/>
      <c r="K90" s="17" t="n"/>
      <c r="L90" s="17" t="n"/>
      <c r="M90" s="15" t="n"/>
      <c r="N90" s="15" t="n"/>
    </row>
    <row r="91">
      <c r="A91" s="15" t="n">
        <v>87</v>
      </c>
      <c r="B91" s="16" t="n"/>
      <c r="C91" s="15" t="n"/>
      <c r="D91" s="15">
        <f>IF(C91="","",IF(C91&gt;=9,"Promotor",IF(C91&gt;=7,"Pasivo","Detractor")))</f>
        <v/>
      </c>
      <c r="E91" s="17" t="n"/>
      <c r="F91" s="15" t="n"/>
      <c r="G91" s="15" t="n"/>
      <c r="H91" s="15" t="n"/>
      <c r="I91" s="15" t="n"/>
      <c r="J91" s="15" t="n"/>
      <c r="K91" s="17" t="n"/>
      <c r="L91" s="17" t="n"/>
      <c r="M91" s="15" t="n"/>
      <c r="N91" s="15" t="n"/>
    </row>
    <row r="92">
      <c r="A92" s="15" t="n">
        <v>88</v>
      </c>
      <c r="B92" s="16" t="n"/>
      <c r="C92" s="15" t="n"/>
      <c r="D92" s="15">
        <f>IF(C92="","",IF(C92&gt;=9,"Promotor",IF(C92&gt;=7,"Pasivo","Detractor")))</f>
        <v/>
      </c>
      <c r="E92" s="17" t="n"/>
      <c r="F92" s="15" t="n"/>
      <c r="G92" s="15" t="n"/>
      <c r="H92" s="15" t="n"/>
      <c r="I92" s="15" t="n"/>
      <c r="J92" s="15" t="n"/>
      <c r="K92" s="17" t="n"/>
      <c r="L92" s="17" t="n"/>
      <c r="M92" s="15" t="n"/>
      <c r="N92" s="15" t="n"/>
    </row>
    <row r="93">
      <c r="A93" s="15" t="n">
        <v>89</v>
      </c>
      <c r="B93" s="16" t="n"/>
      <c r="C93" s="15" t="n"/>
      <c r="D93" s="15">
        <f>IF(C93="","",IF(C93&gt;=9,"Promotor",IF(C93&gt;=7,"Pasivo","Detractor")))</f>
        <v/>
      </c>
      <c r="E93" s="17" t="n"/>
      <c r="F93" s="15" t="n"/>
      <c r="G93" s="15" t="n"/>
      <c r="H93" s="15" t="n"/>
      <c r="I93" s="15" t="n"/>
      <c r="J93" s="15" t="n"/>
      <c r="K93" s="17" t="n"/>
      <c r="L93" s="17" t="n"/>
      <c r="M93" s="15" t="n"/>
      <c r="N93" s="15" t="n"/>
    </row>
    <row r="94">
      <c r="A94" s="15" t="n">
        <v>90</v>
      </c>
      <c r="B94" s="16" t="n"/>
      <c r="C94" s="15" t="n"/>
      <c r="D94" s="15">
        <f>IF(C94="","",IF(C94&gt;=9,"Promotor",IF(C94&gt;=7,"Pasivo","Detractor")))</f>
        <v/>
      </c>
      <c r="E94" s="17" t="n"/>
      <c r="F94" s="15" t="n"/>
      <c r="G94" s="15" t="n"/>
      <c r="H94" s="15" t="n"/>
      <c r="I94" s="15" t="n"/>
      <c r="J94" s="15" t="n"/>
      <c r="K94" s="17" t="n"/>
      <c r="L94" s="17" t="n"/>
      <c r="M94" s="15" t="n"/>
      <c r="N94" s="15" t="n"/>
    </row>
    <row r="95">
      <c r="A95" s="15" t="n">
        <v>91</v>
      </c>
      <c r="B95" s="16" t="n"/>
      <c r="C95" s="15" t="n"/>
      <c r="D95" s="15">
        <f>IF(C95="","",IF(C95&gt;=9,"Promotor",IF(C95&gt;=7,"Pasivo","Detractor")))</f>
        <v/>
      </c>
      <c r="E95" s="17" t="n"/>
      <c r="F95" s="15" t="n"/>
      <c r="G95" s="15" t="n"/>
      <c r="H95" s="15" t="n"/>
      <c r="I95" s="15" t="n"/>
      <c r="J95" s="15" t="n"/>
      <c r="K95" s="17" t="n"/>
      <c r="L95" s="17" t="n"/>
      <c r="M95" s="15" t="n"/>
      <c r="N95" s="15" t="n"/>
    </row>
    <row r="96">
      <c r="A96" s="15" t="n">
        <v>92</v>
      </c>
      <c r="B96" s="16" t="n"/>
      <c r="C96" s="15" t="n"/>
      <c r="D96" s="15">
        <f>IF(C96="","",IF(C96&gt;=9,"Promotor",IF(C96&gt;=7,"Pasivo","Detractor")))</f>
        <v/>
      </c>
      <c r="E96" s="17" t="n"/>
      <c r="F96" s="15" t="n"/>
      <c r="G96" s="15" t="n"/>
      <c r="H96" s="15" t="n"/>
      <c r="I96" s="15" t="n"/>
      <c r="J96" s="15" t="n"/>
      <c r="K96" s="17" t="n"/>
      <c r="L96" s="17" t="n"/>
      <c r="M96" s="15" t="n"/>
      <c r="N96" s="15" t="n"/>
    </row>
    <row r="97">
      <c r="A97" s="15" t="n">
        <v>93</v>
      </c>
      <c r="B97" s="16" t="n"/>
      <c r="C97" s="15" t="n"/>
      <c r="D97" s="15">
        <f>IF(C97="","",IF(C97&gt;=9,"Promotor",IF(C97&gt;=7,"Pasivo","Detractor")))</f>
        <v/>
      </c>
      <c r="E97" s="17" t="n"/>
      <c r="F97" s="15" t="n"/>
      <c r="G97" s="15" t="n"/>
      <c r="H97" s="15" t="n"/>
      <c r="I97" s="15" t="n"/>
      <c r="J97" s="15" t="n"/>
      <c r="K97" s="17" t="n"/>
      <c r="L97" s="17" t="n"/>
      <c r="M97" s="15" t="n"/>
      <c r="N97" s="15" t="n"/>
    </row>
    <row r="98">
      <c r="A98" s="15" t="n">
        <v>94</v>
      </c>
      <c r="B98" s="16" t="n"/>
      <c r="C98" s="15" t="n"/>
      <c r="D98" s="15">
        <f>IF(C98="","",IF(C98&gt;=9,"Promotor",IF(C98&gt;=7,"Pasivo","Detractor")))</f>
        <v/>
      </c>
      <c r="E98" s="17" t="n"/>
      <c r="F98" s="15" t="n"/>
      <c r="G98" s="15" t="n"/>
      <c r="H98" s="15" t="n"/>
      <c r="I98" s="15" t="n"/>
      <c r="J98" s="15" t="n"/>
      <c r="K98" s="17" t="n"/>
      <c r="L98" s="17" t="n"/>
      <c r="M98" s="15" t="n"/>
      <c r="N98" s="15" t="n"/>
    </row>
    <row r="99">
      <c r="A99" s="15" t="n">
        <v>95</v>
      </c>
      <c r="B99" s="16" t="n"/>
      <c r="C99" s="15" t="n"/>
      <c r="D99" s="15">
        <f>IF(C99="","",IF(C99&gt;=9,"Promotor",IF(C99&gt;=7,"Pasivo","Detractor")))</f>
        <v/>
      </c>
      <c r="E99" s="17" t="n"/>
      <c r="F99" s="15" t="n"/>
      <c r="G99" s="15" t="n"/>
      <c r="H99" s="15" t="n"/>
      <c r="I99" s="15" t="n"/>
      <c r="J99" s="15" t="n"/>
      <c r="K99" s="17" t="n"/>
      <c r="L99" s="17" t="n"/>
      <c r="M99" s="15" t="n"/>
      <c r="N99" s="15" t="n"/>
    </row>
    <row r="100">
      <c r="A100" s="15" t="n">
        <v>96</v>
      </c>
      <c r="B100" s="16" t="n"/>
      <c r="C100" s="15" t="n"/>
      <c r="D100" s="15">
        <f>IF(C100="","",IF(C100&gt;=9,"Promotor",IF(C100&gt;=7,"Pasivo","Detractor")))</f>
        <v/>
      </c>
      <c r="E100" s="17" t="n"/>
      <c r="F100" s="15" t="n"/>
      <c r="G100" s="15" t="n"/>
      <c r="H100" s="15" t="n"/>
      <c r="I100" s="15" t="n"/>
      <c r="J100" s="15" t="n"/>
      <c r="K100" s="17" t="n"/>
      <c r="L100" s="17" t="n"/>
      <c r="M100" s="15" t="n"/>
      <c r="N100" s="15" t="n"/>
    </row>
    <row r="101">
      <c r="A101" s="15" t="n">
        <v>97</v>
      </c>
      <c r="B101" s="16" t="n"/>
      <c r="C101" s="15" t="n"/>
      <c r="D101" s="15">
        <f>IF(C101="","",IF(C101&gt;=9,"Promotor",IF(C101&gt;=7,"Pasivo","Detractor")))</f>
        <v/>
      </c>
      <c r="E101" s="17" t="n"/>
      <c r="F101" s="15" t="n"/>
      <c r="G101" s="15" t="n"/>
      <c r="H101" s="15" t="n"/>
      <c r="I101" s="15" t="n"/>
      <c r="J101" s="15" t="n"/>
      <c r="K101" s="17" t="n"/>
      <c r="L101" s="17" t="n"/>
      <c r="M101" s="15" t="n"/>
      <c r="N101" s="15" t="n"/>
    </row>
    <row r="102">
      <c r="A102" s="15" t="n">
        <v>98</v>
      </c>
      <c r="B102" s="16" t="n"/>
      <c r="C102" s="15" t="n"/>
      <c r="D102" s="15">
        <f>IF(C102="","",IF(C102&gt;=9,"Promotor",IF(C102&gt;=7,"Pasivo","Detractor")))</f>
        <v/>
      </c>
      <c r="E102" s="17" t="n"/>
      <c r="F102" s="15" t="n"/>
      <c r="G102" s="15" t="n"/>
      <c r="H102" s="15" t="n"/>
      <c r="I102" s="15" t="n"/>
      <c r="J102" s="15" t="n"/>
      <c r="K102" s="17" t="n"/>
      <c r="L102" s="17" t="n"/>
      <c r="M102" s="15" t="n"/>
      <c r="N102" s="15" t="n"/>
    </row>
    <row r="103">
      <c r="A103" s="15" t="n">
        <v>99</v>
      </c>
      <c r="B103" s="16" t="n"/>
      <c r="C103" s="15" t="n"/>
      <c r="D103" s="15">
        <f>IF(C103="","",IF(C103&gt;=9,"Promotor",IF(C103&gt;=7,"Pasivo","Detractor")))</f>
        <v/>
      </c>
      <c r="E103" s="17" t="n"/>
      <c r="F103" s="15" t="n"/>
      <c r="G103" s="15" t="n"/>
      <c r="H103" s="15" t="n"/>
      <c r="I103" s="15" t="n"/>
      <c r="J103" s="15" t="n"/>
      <c r="K103" s="17" t="n"/>
      <c r="L103" s="17" t="n"/>
      <c r="M103" s="15" t="n"/>
      <c r="N103" s="15" t="n"/>
    </row>
    <row r="104">
      <c r="A104" s="15" t="n">
        <v>100</v>
      </c>
      <c r="B104" s="16" t="n"/>
      <c r="C104" s="15" t="n"/>
      <c r="D104" s="15">
        <f>IF(C104="","",IF(C104&gt;=9,"Promotor",IF(C104&gt;=7,"Pasivo","Detractor")))</f>
        <v/>
      </c>
      <c r="E104" s="17" t="n"/>
      <c r="F104" s="15" t="n"/>
      <c r="G104" s="15" t="n"/>
      <c r="H104" s="15" t="n"/>
      <c r="I104" s="15" t="n"/>
      <c r="J104" s="15" t="n"/>
      <c r="K104" s="17" t="n"/>
      <c r="L104" s="17" t="n"/>
      <c r="M104" s="15" t="n"/>
      <c r="N104" s="15" t="n"/>
    </row>
    <row r="105">
      <c r="A105" s="15" t="n">
        <v>101</v>
      </c>
      <c r="B105" s="16" t="n"/>
      <c r="C105" s="15" t="n"/>
      <c r="D105" s="15">
        <f>IF(C105="","",IF(C105&gt;=9,"Promotor",IF(C105&gt;=7,"Pasivo","Detractor")))</f>
        <v/>
      </c>
      <c r="E105" s="17" t="n"/>
      <c r="F105" s="15" t="n"/>
      <c r="G105" s="15" t="n"/>
      <c r="H105" s="15" t="n"/>
      <c r="I105" s="15" t="n"/>
      <c r="J105" s="15" t="n"/>
      <c r="K105" s="17" t="n"/>
      <c r="L105" s="17" t="n"/>
      <c r="M105" s="15" t="n"/>
      <c r="N105" s="15" t="n"/>
    </row>
    <row r="106">
      <c r="A106" s="15" t="n">
        <v>102</v>
      </c>
      <c r="B106" s="16" t="n"/>
      <c r="C106" s="15" t="n"/>
      <c r="D106" s="15">
        <f>IF(C106="","",IF(C106&gt;=9,"Promotor",IF(C106&gt;=7,"Pasivo","Detractor")))</f>
        <v/>
      </c>
      <c r="E106" s="17" t="n"/>
      <c r="F106" s="15" t="n"/>
      <c r="G106" s="15" t="n"/>
      <c r="H106" s="15" t="n"/>
      <c r="I106" s="15" t="n"/>
      <c r="J106" s="15" t="n"/>
      <c r="K106" s="17" t="n"/>
      <c r="L106" s="17" t="n"/>
      <c r="M106" s="15" t="n"/>
      <c r="N106" s="15" t="n"/>
    </row>
    <row r="107">
      <c r="A107" s="15" t="n">
        <v>103</v>
      </c>
      <c r="B107" s="16" t="n"/>
      <c r="C107" s="15" t="n"/>
      <c r="D107" s="15">
        <f>IF(C107="","",IF(C107&gt;=9,"Promotor",IF(C107&gt;=7,"Pasivo","Detractor")))</f>
        <v/>
      </c>
      <c r="E107" s="17" t="n"/>
      <c r="F107" s="15" t="n"/>
      <c r="G107" s="15" t="n"/>
      <c r="H107" s="15" t="n"/>
      <c r="I107" s="15" t="n"/>
      <c r="J107" s="15" t="n"/>
      <c r="K107" s="17" t="n"/>
      <c r="L107" s="17" t="n"/>
      <c r="M107" s="15" t="n"/>
      <c r="N107" s="15" t="n"/>
    </row>
    <row r="108">
      <c r="A108" s="15" t="n">
        <v>104</v>
      </c>
      <c r="B108" s="16" t="n"/>
      <c r="C108" s="15" t="n"/>
      <c r="D108" s="15">
        <f>IF(C108="","",IF(C108&gt;=9,"Promotor",IF(C108&gt;=7,"Pasivo","Detractor")))</f>
        <v/>
      </c>
      <c r="E108" s="17" t="n"/>
      <c r="F108" s="15" t="n"/>
      <c r="G108" s="15" t="n"/>
      <c r="H108" s="15" t="n"/>
      <c r="I108" s="15" t="n"/>
      <c r="J108" s="15" t="n"/>
      <c r="K108" s="17" t="n"/>
      <c r="L108" s="17" t="n"/>
      <c r="M108" s="15" t="n"/>
      <c r="N108" s="15" t="n"/>
    </row>
    <row r="109">
      <c r="A109" s="15" t="n">
        <v>105</v>
      </c>
      <c r="B109" s="16" t="n"/>
      <c r="C109" s="15" t="n"/>
      <c r="D109" s="15">
        <f>IF(C109="","",IF(C109&gt;=9,"Promotor",IF(C109&gt;=7,"Pasivo","Detractor")))</f>
        <v/>
      </c>
      <c r="E109" s="17" t="n"/>
      <c r="F109" s="15" t="n"/>
      <c r="G109" s="15" t="n"/>
      <c r="H109" s="15" t="n"/>
      <c r="I109" s="15" t="n"/>
      <c r="J109" s="15" t="n"/>
      <c r="K109" s="17" t="n"/>
      <c r="L109" s="17" t="n"/>
      <c r="M109" s="15" t="n"/>
      <c r="N109" s="15" t="n"/>
    </row>
    <row r="110">
      <c r="A110" s="15" t="n">
        <v>106</v>
      </c>
      <c r="B110" s="16" t="n"/>
      <c r="C110" s="15" t="n"/>
      <c r="D110" s="15">
        <f>IF(C110="","",IF(C110&gt;=9,"Promotor",IF(C110&gt;=7,"Pasivo","Detractor")))</f>
        <v/>
      </c>
      <c r="E110" s="17" t="n"/>
      <c r="F110" s="15" t="n"/>
      <c r="G110" s="15" t="n"/>
      <c r="H110" s="15" t="n"/>
      <c r="I110" s="15" t="n"/>
      <c r="J110" s="15" t="n"/>
      <c r="K110" s="17" t="n"/>
      <c r="L110" s="17" t="n"/>
      <c r="M110" s="15" t="n"/>
      <c r="N110" s="15" t="n"/>
    </row>
    <row r="111">
      <c r="A111" s="15" t="n">
        <v>107</v>
      </c>
      <c r="B111" s="16" t="n"/>
      <c r="C111" s="15" t="n"/>
      <c r="D111" s="15">
        <f>IF(C111="","",IF(C111&gt;=9,"Promotor",IF(C111&gt;=7,"Pasivo","Detractor")))</f>
        <v/>
      </c>
      <c r="E111" s="17" t="n"/>
      <c r="F111" s="15" t="n"/>
      <c r="G111" s="15" t="n"/>
      <c r="H111" s="15" t="n"/>
      <c r="I111" s="15" t="n"/>
      <c r="J111" s="15" t="n"/>
      <c r="K111" s="17" t="n"/>
      <c r="L111" s="17" t="n"/>
      <c r="M111" s="15" t="n"/>
      <c r="N111" s="15" t="n"/>
    </row>
    <row r="112">
      <c r="A112" s="15" t="n">
        <v>108</v>
      </c>
      <c r="B112" s="16" t="n"/>
      <c r="C112" s="15" t="n"/>
      <c r="D112" s="15">
        <f>IF(C112="","",IF(C112&gt;=9,"Promotor",IF(C112&gt;=7,"Pasivo","Detractor")))</f>
        <v/>
      </c>
      <c r="E112" s="17" t="n"/>
      <c r="F112" s="15" t="n"/>
      <c r="G112" s="15" t="n"/>
      <c r="H112" s="15" t="n"/>
      <c r="I112" s="15" t="n"/>
      <c r="J112" s="15" t="n"/>
      <c r="K112" s="17" t="n"/>
      <c r="L112" s="17" t="n"/>
      <c r="M112" s="15" t="n"/>
      <c r="N112" s="15" t="n"/>
    </row>
    <row r="113">
      <c r="A113" s="15" t="n">
        <v>109</v>
      </c>
      <c r="B113" s="16" t="n"/>
      <c r="C113" s="15" t="n"/>
      <c r="D113" s="15">
        <f>IF(C113="","",IF(C113&gt;=9,"Promotor",IF(C113&gt;=7,"Pasivo","Detractor")))</f>
        <v/>
      </c>
      <c r="E113" s="17" t="n"/>
      <c r="F113" s="15" t="n"/>
      <c r="G113" s="15" t="n"/>
      <c r="H113" s="15" t="n"/>
      <c r="I113" s="15" t="n"/>
      <c r="J113" s="15" t="n"/>
      <c r="K113" s="17" t="n"/>
      <c r="L113" s="17" t="n"/>
      <c r="M113" s="15" t="n"/>
      <c r="N113" s="15" t="n"/>
    </row>
    <row r="114">
      <c r="A114" s="15" t="n">
        <v>110</v>
      </c>
      <c r="B114" s="16" t="n"/>
      <c r="C114" s="15" t="n"/>
      <c r="D114" s="15">
        <f>IF(C114="","",IF(C114&gt;=9,"Promotor",IF(C114&gt;=7,"Pasivo","Detractor")))</f>
        <v/>
      </c>
      <c r="E114" s="17" t="n"/>
      <c r="F114" s="15" t="n"/>
      <c r="G114" s="15" t="n"/>
      <c r="H114" s="15" t="n"/>
      <c r="I114" s="15" t="n"/>
      <c r="J114" s="15" t="n"/>
      <c r="K114" s="17" t="n"/>
      <c r="L114" s="17" t="n"/>
      <c r="M114" s="15" t="n"/>
      <c r="N114" s="15" t="n"/>
    </row>
    <row r="115">
      <c r="A115" s="15" t="n">
        <v>111</v>
      </c>
      <c r="B115" s="16" t="n"/>
      <c r="C115" s="15" t="n"/>
      <c r="D115" s="15">
        <f>IF(C115="","",IF(C115&gt;=9,"Promotor",IF(C115&gt;=7,"Pasivo","Detractor")))</f>
        <v/>
      </c>
      <c r="E115" s="17" t="n"/>
      <c r="F115" s="15" t="n"/>
      <c r="G115" s="15" t="n"/>
      <c r="H115" s="15" t="n"/>
      <c r="I115" s="15" t="n"/>
      <c r="J115" s="15" t="n"/>
      <c r="K115" s="17" t="n"/>
      <c r="L115" s="17" t="n"/>
      <c r="M115" s="15" t="n"/>
      <c r="N115" s="15" t="n"/>
    </row>
    <row r="116">
      <c r="A116" s="15" t="n">
        <v>112</v>
      </c>
      <c r="B116" s="16" t="n"/>
      <c r="C116" s="15" t="n"/>
      <c r="D116" s="15">
        <f>IF(C116="","",IF(C116&gt;=9,"Promotor",IF(C116&gt;=7,"Pasivo","Detractor")))</f>
        <v/>
      </c>
      <c r="E116" s="17" t="n"/>
      <c r="F116" s="15" t="n"/>
      <c r="G116" s="15" t="n"/>
      <c r="H116" s="15" t="n"/>
      <c r="I116" s="15" t="n"/>
      <c r="J116" s="15" t="n"/>
      <c r="K116" s="17" t="n"/>
      <c r="L116" s="17" t="n"/>
      <c r="M116" s="15" t="n"/>
      <c r="N116" s="15" t="n"/>
    </row>
    <row r="117">
      <c r="A117" s="15" t="n">
        <v>113</v>
      </c>
      <c r="B117" s="16" t="n"/>
      <c r="C117" s="15" t="n"/>
      <c r="D117" s="15">
        <f>IF(C117="","",IF(C117&gt;=9,"Promotor",IF(C117&gt;=7,"Pasivo","Detractor")))</f>
        <v/>
      </c>
      <c r="E117" s="17" t="n"/>
      <c r="F117" s="15" t="n"/>
      <c r="G117" s="15" t="n"/>
      <c r="H117" s="15" t="n"/>
      <c r="I117" s="15" t="n"/>
      <c r="J117" s="15" t="n"/>
      <c r="K117" s="17" t="n"/>
      <c r="L117" s="17" t="n"/>
      <c r="M117" s="15" t="n"/>
      <c r="N117" s="15" t="n"/>
    </row>
    <row r="118">
      <c r="A118" s="15" t="n">
        <v>114</v>
      </c>
      <c r="B118" s="16" t="n"/>
      <c r="C118" s="15" t="n"/>
      <c r="D118" s="15">
        <f>IF(C118="","",IF(C118&gt;=9,"Promotor",IF(C118&gt;=7,"Pasivo","Detractor")))</f>
        <v/>
      </c>
      <c r="E118" s="17" t="n"/>
      <c r="F118" s="15" t="n"/>
      <c r="G118" s="15" t="n"/>
      <c r="H118" s="15" t="n"/>
      <c r="I118" s="15" t="n"/>
      <c r="J118" s="15" t="n"/>
      <c r="K118" s="17" t="n"/>
      <c r="L118" s="17" t="n"/>
      <c r="M118" s="15" t="n"/>
      <c r="N118" s="15" t="n"/>
    </row>
    <row r="119">
      <c r="A119" s="15" t="n">
        <v>115</v>
      </c>
      <c r="B119" s="16" t="n"/>
      <c r="C119" s="15" t="n"/>
      <c r="D119" s="15">
        <f>IF(C119="","",IF(C119&gt;=9,"Promotor",IF(C119&gt;=7,"Pasivo","Detractor")))</f>
        <v/>
      </c>
      <c r="E119" s="17" t="n"/>
      <c r="F119" s="15" t="n"/>
      <c r="G119" s="15" t="n"/>
      <c r="H119" s="15" t="n"/>
      <c r="I119" s="15" t="n"/>
      <c r="J119" s="15" t="n"/>
      <c r="K119" s="17" t="n"/>
      <c r="L119" s="17" t="n"/>
      <c r="M119" s="15" t="n"/>
      <c r="N119" s="15" t="n"/>
    </row>
    <row r="120">
      <c r="A120" s="15" t="n">
        <v>116</v>
      </c>
      <c r="B120" s="16" t="n"/>
      <c r="C120" s="15" t="n"/>
      <c r="D120" s="15">
        <f>IF(C120="","",IF(C120&gt;=9,"Promotor",IF(C120&gt;=7,"Pasivo","Detractor")))</f>
        <v/>
      </c>
      <c r="E120" s="17" t="n"/>
      <c r="F120" s="15" t="n"/>
      <c r="G120" s="15" t="n"/>
      <c r="H120" s="15" t="n"/>
      <c r="I120" s="15" t="n"/>
      <c r="J120" s="15" t="n"/>
      <c r="K120" s="17" t="n"/>
      <c r="L120" s="17" t="n"/>
      <c r="M120" s="15" t="n"/>
      <c r="N120" s="15" t="n"/>
    </row>
    <row r="121">
      <c r="A121" s="15" t="n">
        <v>117</v>
      </c>
      <c r="B121" s="16" t="n"/>
      <c r="C121" s="15" t="n"/>
      <c r="D121" s="15">
        <f>IF(C121="","",IF(C121&gt;=9,"Promotor",IF(C121&gt;=7,"Pasivo","Detractor")))</f>
        <v/>
      </c>
      <c r="E121" s="17" t="n"/>
      <c r="F121" s="15" t="n"/>
      <c r="G121" s="15" t="n"/>
      <c r="H121" s="15" t="n"/>
      <c r="I121" s="15" t="n"/>
      <c r="J121" s="15" t="n"/>
      <c r="K121" s="17" t="n"/>
      <c r="L121" s="17" t="n"/>
      <c r="M121" s="15" t="n"/>
      <c r="N121" s="15" t="n"/>
    </row>
    <row r="122">
      <c r="A122" s="15" t="n">
        <v>118</v>
      </c>
      <c r="B122" s="16" t="n"/>
      <c r="C122" s="15" t="n"/>
      <c r="D122" s="15">
        <f>IF(C122="","",IF(C122&gt;=9,"Promotor",IF(C122&gt;=7,"Pasivo","Detractor")))</f>
        <v/>
      </c>
      <c r="E122" s="17" t="n"/>
      <c r="F122" s="15" t="n"/>
      <c r="G122" s="15" t="n"/>
      <c r="H122" s="15" t="n"/>
      <c r="I122" s="15" t="n"/>
      <c r="J122" s="15" t="n"/>
      <c r="K122" s="17" t="n"/>
      <c r="L122" s="17" t="n"/>
      <c r="M122" s="15" t="n"/>
      <c r="N122" s="15" t="n"/>
    </row>
    <row r="123">
      <c r="A123" s="15" t="n">
        <v>119</v>
      </c>
      <c r="B123" s="16" t="n"/>
      <c r="C123" s="15" t="n"/>
      <c r="D123" s="15">
        <f>IF(C123="","",IF(C123&gt;=9,"Promotor",IF(C123&gt;=7,"Pasivo","Detractor")))</f>
        <v/>
      </c>
      <c r="E123" s="17" t="n"/>
      <c r="F123" s="15" t="n"/>
      <c r="G123" s="15" t="n"/>
      <c r="H123" s="15" t="n"/>
      <c r="I123" s="15" t="n"/>
      <c r="J123" s="15" t="n"/>
      <c r="K123" s="17" t="n"/>
      <c r="L123" s="17" t="n"/>
      <c r="M123" s="15" t="n"/>
      <c r="N123" s="15" t="n"/>
    </row>
    <row r="124">
      <c r="A124" s="15" t="n">
        <v>120</v>
      </c>
      <c r="B124" s="16" t="n"/>
      <c r="C124" s="15" t="n"/>
      <c r="D124" s="15">
        <f>IF(C124="","",IF(C124&gt;=9,"Promotor",IF(C124&gt;=7,"Pasivo","Detractor")))</f>
        <v/>
      </c>
      <c r="E124" s="17" t="n"/>
      <c r="F124" s="15" t="n"/>
      <c r="G124" s="15" t="n"/>
      <c r="H124" s="15" t="n"/>
      <c r="I124" s="15" t="n"/>
      <c r="J124" s="15" t="n"/>
      <c r="K124" s="17" t="n"/>
      <c r="L124" s="17" t="n"/>
      <c r="M124" s="15" t="n"/>
      <c r="N124" s="15" t="n"/>
    </row>
    <row r="125">
      <c r="A125" s="15" t="n">
        <v>121</v>
      </c>
      <c r="B125" s="16" t="n"/>
      <c r="C125" s="15" t="n"/>
      <c r="D125" s="15">
        <f>IF(C125="","",IF(C125&gt;=9,"Promotor",IF(C125&gt;=7,"Pasivo","Detractor")))</f>
        <v/>
      </c>
      <c r="E125" s="17" t="n"/>
      <c r="F125" s="15" t="n"/>
      <c r="G125" s="15" t="n"/>
      <c r="H125" s="15" t="n"/>
      <c r="I125" s="15" t="n"/>
      <c r="J125" s="15" t="n"/>
      <c r="K125" s="17" t="n"/>
      <c r="L125" s="17" t="n"/>
      <c r="M125" s="15" t="n"/>
      <c r="N125" s="15" t="n"/>
    </row>
    <row r="126">
      <c r="A126" s="15" t="n">
        <v>122</v>
      </c>
      <c r="B126" s="16" t="n"/>
      <c r="C126" s="15" t="n"/>
      <c r="D126" s="15">
        <f>IF(C126="","",IF(C126&gt;=9,"Promotor",IF(C126&gt;=7,"Pasivo","Detractor")))</f>
        <v/>
      </c>
      <c r="E126" s="17" t="n"/>
      <c r="F126" s="15" t="n"/>
      <c r="G126" s="15" t="n"/>
      <c r="H126" s="15" t="n"/>
      <c r="I126" s="15" t="n"/>
      <c r="J126" s="15" t="n"/>
      <c r="K126" s="17" t="n"/>
      <c r="L126" s="17" t="n"/>
      <c r="M126" s="15" t="n"/>
      <c r="N126" s="15" t="n"/>
    </row>
    <row r="127">
      <c r="A127" s="15" t="n">
        <v>123</v>
      </c>
      <c r="B127" s="16" t="n"/>
      <c r="C127" s="15" t="n"/>
      <c r="D127" s="15">
        <f>IF(C127="","",IF(C127&gt;=9,"Promotor",IF(C127&gt;=7,"Pasivo","Detractor")))</f>
        <v/>
      </c>
      <c r="E127" s="17" t="n"/>
      <c r="F127" s="15" t="n"/>
      <c r="G127" s="15" t="n"/>
      <c r="H127" s="15" t="n"/>
      <c r="I127" s="15" t="n"/>
      <c r="J127" s="15" t="n"/>
      <c r="K127" s="17" t="n"/>
      <c r="L127" s="17" t="n"/>
      <c r="M127" s="15" t="n"/>
      <c r="N127" s="15" t="n"/>
    </row>
    <row r="128">
      <c r="A128" s="15" t="n">
        <v>124</v>
      </c>
      <c r="B128" s="16" t="n"/>
      <c r="C128" s="15" t="n"/>
      <c r="D128" s="15">
        <f>IF(C128="","",IF(C128&gt;=9,"Promotor",IF(C128&gt;=7,"Pasivo","Detractor")))</f>
        <v/>
      </c>
      <c r="E128" s="17" t="n"/>
      <c r="F128" s="15" t="n"/>
      <c r="G128" s="15" t="n"/>
      <c r="H128" s="15" t="n"/>
      <c r="I128" s="15" t="n"/>
      <c r="J128" s="15" t="n"/>
      <c r="K128" s="17" t="n"/>
      <c r="L128" s="17" t="n"/>
      <c r="M128" s="15" t="n"/>
      <c r="N128" s="15" t="n"/>
    </row>
    <row r="129">
      <c r="A129" s="15" t="n">
        <v>125</v>
      </c>
      <c r="B129" s="16" t="n"/>
      <c r="C129" s="15" t="n"/>
      <c r="D129" s="15">
        <f>IF(C129="","",IF(C129&gt;=9,"Promotor",IF(C129&gt;=7,"Pasivo","Detractor")))</f>
        <v/>
      </c>
      <c r="E129" s="17" t="n"/>
      <c r="F129" s="15" t="n"/>
      <c r="G129" s="15" t="n"/>
      <c r="H129" s="15" t="n"/>
      <c r="I129" s="15" t="n"/>
      <c r="J129" s="15" t="n"/>
      <c r="K129" s="17" t="n"/>
      <c r="L129" s="17" t="n"/>
      <c r="M129" s="15" t="n"/>
      <c r="N129" s="15" t="n"/>
    </row>
    <row r="130">
      <c r="A130" s="15" t="n">
        <v>126</v>
      </c>
      <c r="B130" s="16" t="n"/>
      <c r="C130" s="15" t="n"/>
      <c r="D130" s="15">
        <f>IF(C130="","",IF(C130&gt;=9,"Promotor",IF(C130&gt;=7,"Pasivo","Detractor")))</f>
        <v/>
      </c>
      <c r="E130" s="17" t="n"/>
      <c r="F130" s="15" t="n"/>
      <c r="G130" s="15" t="n"/>
      <c r="H130" s="15" t="n"/>
      <c r="I130" s="15" t="n"/>
      <c r="J130" s="15" t="n"/>
      <c r="K130" s="17" t="n"/>
      <c r="L130" s="17" t="n"/>
      <c r="M130" s="15" t="n"/>
      <c r="N130" s="15" t="n"/>
    </row>
    <row r="131">
      <c r="A131" s="15" t="n">
        <v>127</v>
      </c>
      <c r="B131" s="16" t="n"/>
      <c r="C131" s="15" t="n"/>
      <c r="D131" s="15">
        <f>IF(C131="","",IF(C131&gt;=9,"Promotor",IF(C131&gt;=7,"Pasivo","Detractor")))</f>
        <v/>
      </c>
      <c r="E131" s="17" t="n"/>
      <c r="F131" s="15" t="n"/>
      <c r="G131" s="15" t="n"/>
      <c r="H131" s="15" t="n"/>
      <c r="I131" s="15" t="n"/>
      <c r="J131" s="15" t="n"/>
      <c r="K131" s="17" t="n"/>
      <c r="L131" s="17" t="n"/>
      <c r="M131" s="15" t="n"/>
      <c r="N131" s="15" t="n"/>
    </row>
    <row r="132">
      <c r="A132" s="15" t="n">
        <v>128</v>
      </c>
      <c r="B132" s="16" t="n"/>
      <c r="C132" s="15" t="n"/>
      <c r="D132" s="15">
        <f>IF(C132="","",IF(C132&gt;=9,"Promotor",IF(C132&gt;=7,"Pasivo","Detractor")))</f>
        <v/>
      </c>
      <c r="E132" s="17" t="n"/>
      <c r="F132" s="15" t="n"/>
      <c r="G132" s="15" t="n"/>
      <c r="H132" s="15" t="n"/>
      <c r="I132" s="15" t="n"/>
      <c r="J132" s="15" t="n"/>
      <c r="K132" s="17" t="n"/>
      <c r="L132" s="17" t="n"/>
      <c r="M132" s="15" t="n"/>
      <c r="N132" s="15" t="n"/>
    </row>
    <row r="133">
      <c r="A133" s="15" t="n">
        <v>129</v>
      </c>
      <c r="B133" s="16" t="n"/>
      <c r="C133" s="15" t="n"/>
      <c r="D133" s="15">
        <f>IF(C133="","",IF(C133&gt;=9,"Promotor",IF(C133&gt;=7,"Pasivo","Detractor")))</f>
        <v/>
      </c>
      <c r="E133" s="17" t="n"/>
      <c r="F133" s="15" t="n"/>
      <c r="G133" s="15" t="n"/>
      <c r="H133" s="15" t="n"/>
      <c r="I133" s="15" t="n"/>
      <c r="J133" s="15" t="n"/>
      <c r="K133" s="17" t="n"/>
      <c r="L133" s="17" t="n"/>
      <c r="M133" s="15" t="n"/>
      <c r="N133" s="15" t="n"/>
    </row>
    <row r="134">
      <c r="A134" s="15" t="n">
        <v>130</v>
      </c>
      <c r="B134" s="16" t="n"/>
      <c r="C134" s="15" t="n"/>
      <c r="D134" s="15">
        <f>IF(C134="","",IF(C134&gt;=9,"Promotor",IF(C134&gt;=7,"Pasivo","Detractor")))</f>
        <v/>
      </c>
      <c r="E134" s="17" t="n"/>
      <c r="F134" s="15" t="n"/>
      <c r="G134" s="15" t="n"/>
      <c r="H134" s="15" t="n"/>
      <c r="I134" s="15" t="n"/>
      <c r="J134" s="15" t="n"/>
      <c r="K134" s="17" t="n"/>
      <c r="L134" s="17" t="n"/>
      <c r="M134" s="15" t="n"/>
      <c r="N134" s="15" t="n"/>
    </row>
    <row r="135">
      <c r="A135" s="15" t="n">
        <v>131</v>
      </c>
      <c r="B135" s="16" t="n"/>
      <c r="C135" s="15" t="n"/>
      <c r="D135" s="15">
        <f>IF(C135="","",IF(C135&gt;=9,"Promotor",IF(C135&gt;=7,"Pasivo","Detractor")))</f>
        <v/>
      </c>
      <c r="E135" s="17" t="n"/>
      <c r="F135" s="15" t="n"/>
      <c r="G135" s="15" t="n"/>
      <c r="H135" s="15" t="n"/>
      <c r="I135" s="15" t="n"/>
      <c r="J135" s="15" t="n"/>
      <c r="K135" s="17" t="n"/>
      <c r="L135" s="17" t="n"/>
      <c r="M135" s="15" t="n"/>
      <c r="N135" s="15" t="n"/>
    </row>
    <row r="136">
      <c r="A136" s="15" t="n">
        <v>132</v>
      </c>
      <c r="B136" s="16" t="n"/>
      <c r="C136" s="15" t="n"/>
      <c r="D136" s="15">
        <f>IF(C136="","",IF(C136&gt;=9,"Promotor",IF(C136&gt;=7,"Pasivo","Detractor")))</f>
        <v/>
      </c>
      <c r="E136" s="17" t="n"/>
      <c r="F136" s="15" t="n"/>
      <c r="G136" s="15" t="n"/>
      <c r="H136" s="15" t="n"/>
      <c r="I136" s="15" t="n"/>
      <c r="J136" s="15" t="n"/>
      <c r="K136" s="17" t="n"/>
      <c r="L136" s="17" t="n"/>
      <c r="M136" s="15" t="n"/>
      <c r="N136" s="15" t="n"/>
    </row>
    <row r="137">
      <c r="A137" s="15" t="n">
        <v>133</v>
      </c>
      <c r="B137" s="16" t="n"/>
      <c r="C137" s="15" t="n"/>
      <c r="D137" s="15">
        <f>IF(C137="","",IF(C137&gt;=9,"Promotor",IF(C137&gt;=7,"Pasivo","Detractor")))</f>
        <v/>
      </c>
      <c r="E137" s="17" t="n"/>
      <c r="F137" s="15" t="n"/>
      <c r="G137" s="15" t="n"/>
      <c r="H137" s="15" t="n"/>
      <c r="I137" s="15" t="n"/>
      <c r="J137" s="15" t="n"/>
      <c r="K137" s="17" t="n"/>
      <c r="L137" s="17" t="n"/>
      <c r="M137" s="15" t="n"/>
      <c r="N137" s="15" t="n"/>
    </row>
    <row r="138">
      <c r="A138" s="15" t="n">
        <v>134</v>
      </c>
      <c r="B138" s="16" t="n"/>
      <c r="C138" s="15" t="n"/>
      <c r="D138" s="15">
        <f>IF(C138="","",IF(C138&gt;=9,"Promotor",IF(C138&gt;=7,"Pasivo","Detractor")))</f>
        <v/>
      </c>
      <c r="E138" s="17" t="n"/>
      <c r="F138" s="15" t="n"/>
      <c r="G138" s="15" t="n"/>
      <c r="H138" s="15" t="n"/>
      <c r="I138" s="15" t="n"/>
      <c r="J138" s="15" t="n"/>
      <c r="K138" s="17" t="n"/>
      <c r="L138" s="17" t="n"/>
      <c r="M138" s="15" t="n"/>
      <c r="N138" s="15" t="n"/>
    </row>
    <row r="139">
      <c r="A139" s="15" t="n">
        <v>135</v>
      </c>
      <c r="B139" s="16" t="n"/>
      <c r="C139" s="15" t="n"/>
      <c r="D139" s="15">
        <f>IF(C139="","",IF(C139&gt;=9,"Promotor",IF(C139&gt;=7,"Pasivo","Detractor")))</f>
        <v/>
      </c>
      <c r="E139" s="17" t="n"/>
      <c r="F139" s="15" t="n"/>
      <c r="G139" s="15" t="n"/>
      <c r="H139" s="15" t="n"/>
      <c r="I139" s="15" t="n"/>
      <c r="J139" s="15" t="n"/>
      <c r="K139" s="17" t="n"/>
      <c r="L139" s="17" t="n"/>
      <c r="M139" s="15" t="n"/>
      <c r="N139" s="15" t="n"/>
    </row>
    <row r="140">
      <c r="A140" s="15" t="n">
        <v>136</v>
      </c>
      <c r="B140" s="16" t="n"/>
      <c r="C140" s="15" t="n"/>
      <c r="D140" s="15">
        <f>IF(C140="","",IF(C140&gt;=9,"Promotor",IF(C140&gt;=7,"Pasivo","Detractor")))</f>
        <v/>
      </c>
      <c r="E140" s="17" t="n"/>
      <c r="F140" s="15" t="n"/>
      <c r="G140" s="15" t="n"/>
      <c r="H140" s="15" t="n"/>
      <c r="I140" s="15" t="n"/>
      <c r="J140" s="15" t="n"/>
      <c r="K140" s="17" t="n"/>
      <c r="L140" s="17" t="n"/>
      <c r="M140" s="15" t="n"/>
      <c r="N140" s="15" t="n"/>
    </row>
    <row r="141">
      <c r="A141" s="15" t="n">
        <v>137</v>
      </c>
      <c r="B141" s="16" t="n"/>
      <c r="C141" s="15" t="n"/>
      <c r="D141" s="15">
        <f>IF(C141="","",IF(C141&gt;=9,"Promotor",IF(C141&gt;=7,"Pasivo","Detractor")))</f>
        <v/>
      </c>
      <c r="E141" s="17" t="n"/>
      <c r="F141" s="15" t="n"/>
      <c r="G141" s="15" t="n"/>
      <c r="H141" s="15" t="n"/>
      <c r="I141" s="15" t="n"/>
      <c r="J141" s="15" t="n"/>
      <c r="K141" s="17" t="n"/>
      <c r="L141" s="17" t="n"/>
      <c r="M141" s="15" t="n"/>
      <c r="N141" s="15" t="n"/>
    </row>
    <row r="142">
      <c r="A142" s="15" t="n">
        <v>138</v>
      </c>
      <c r="B142" s="16" t="n"/>
      <c r="C142" s="15" t="n"/>
      <c r="D142" s="15">
        <f>IF(C142="","",IF(C142&gt;=9,"Promotor",IF(C142&gt;=7,"Pasivo","Detractor")))</f>
        <v/>
      </c>
      <c r="E142" s="17" t="n"/>
      <c r="F142" s="15" t="n"/>
      <c r="G142" s="15" t="n"/>
      <c r="H142" s="15" t="n"/>
      <c r="I142" s="15" t="n"/>
      <c r="J142" s="15" t="n"/>
      <c r="K142" s="17" t="n"/>
      <c r="L142" s="17" t="n"/>
      <c r="M142" s="15" t="n"/>
      <c r="N142" s="15" t="n"/>
    </row>
    <row r="143">
      <c r="A143" s="15" t="n">
        <v>139</v>
      </c>
      <c r="B143" s="16" t="n"/>
      <c r="C143" s="15" t="n"/>
      <c r="D143" s="15">
        <f>IF(C143="","",IF(C143&gt;=9,"Promotor",IF(C143&gt;=7,"Pasivo","Detractor")))</f>
        <v/>
      </c>
      <c r="E143" s="17" t="n"/>
      <c r="F143" s="15" t="n"/>
      <c r="G143" s="15" t="n"/>
      <c r="H143" s="15" t="n"/>
      <c r="I143" s="15" t="n"/>
      <c r="J143" s="15" t="n"/>
      <c r="K143" s="17" t="n"/>
      <c r="L143" s="17" t="n"/>
      <c r="M143" s="15" t="n"/>
      <c r="N143" s="15" t="n"/>
    </row>
    <row r="144">
      <c r="A144" s="15" t="n">
        <v>140</v>
      </c>
      <c r="B144" s="16" t="n"/>
      <c r="C144" s="15" t="n"/>
      <c r="D144" s="15">
        <f>IF(C144="","",IF(C144&gt;=9,"Promotor",IF(C144&gt;=7,"Pasivo","Detractor")))</f>
        <v/>
      </c>
      <c r="E144" s="17" t="n"/>
      <c r="F144" s="15" t="n"/>
      <c r="G144" s="15" t="n"/>
      <c r="H144" s="15" t="n"/>
      <c r="I144" s="15" t="n"/>
      <c r="J144" s="15" t="n"/>
      <c r="K144" s="17" t="n"/>
      <c r="L144" s="17" t="n"/>
      <c r="M144" s="15" t="n"/>
      <c r="N144" s="15" t="n"/>
    </row>
    <row r="145">
      <c r="A145" s="15" t="n">
        <v>141</v>
      </c>
      <c r="B145" s="16" t="n"/>
      <c r="C145" s="15" t="n"/>
      <c r="D145" s="15">
        <f>IF(C145="","",IF(C145&gt;=9,"Promotor",IF(C145&gt;=7,"Pasivo","Detractor")))</f>
        <v/>
      </c>
      <c r="E145" s="17" t="n"/>
      <c r="F145" s="15" t="n"/>
      <c r="G145" s="15" t="n"/>
      <c r="H145" s="15" t="n"/>
      <c r="I145" s="15" t="n"/>
      <c r="J145" s="15" t="n"/>
      <c r="K145" s="17" t="n"/>
      <c r="L145" s="17" t="n"/>
      <c r="M145" s="15" t="n"/>
      <c r="N145" s="15" t="n"/>
    </row>
    <row r="146">
      <c r="A146" s="15" t="n">
        <v>142</v>
      </c>
      <c r="B146" s="16" t="n"/>
      <c r="C146" s="15" t="n"/>
      <c r="D146" s="15">
        <f>IF(C146="","",IF(C146&gt;=9,"Promotor",IF(C146&gt;=7,"Pasivo","Detractor")))</f>
        <v/>
      </c>
      <c r="E146" s="17" t="n"/>
      <c r="F146" s="15" t="n"/>
      <c r="G146" s="15" t="n"/>
      <c r="H146" s="15" t="n"/>
      <c r="I146" s="15" t="n"/>
      <c r="J146" s="15" t="n"/>
      <c r="K146" s="17" t="n"/>
      <c r="L146" s="17" t="n"/>
      <c r="M146" s="15" t="n"/>
      <c r="N146" s="15" t="n"/>
    </row>
    <row r="147">
      <c r="A147" s="15" t="n">
        <v>143</v>
      </c>
      <c r="B147" s="16" t="n"/>
      <c r="C147" s="15" t="n"/>
      <c r="D147" s="15">
        <f>IF(C147="","",IF(C147&gt;=9,"Promotor",IF(C147&gt;=7,"Pasivo","Detractor")))</f>
        <v/>
      </c>
      <c r="E147" s="17" t="n"/>
      <c r="F147" s="15" t="n"/>
      <c r="G147" s="15" t="n"/>
      <c r="H147" s="15" t="n"/>
      <c r="I147" s="15" t="n"/>
      <c r="J147" s="15" t="n"/>
      <c r="K147" s="17" t="n"/>
      <c r="L147" s="17" t="n"/>
      <c r="M147" s="15" t="n"/>
      <c r="N147" s="15" t="n"/>
    </row>
    <row r="148">
      <c r="A148" s="15" t="n">
        <v>144</v>
      </c>
      <c r="B148" s="16" t="n"/>
      <c r="C148" s="15" t="n"/>
      <c r="D148" s="15">
        <f>IF(C148="","",IF(C148&gt;=9,"Promotor",IF(C148&gt;=7,"Pasivo","Detractor")))</f>
        <v/>
      </c>
      <c r="E148" s="17" t="n"/>
      <c r="F148" s="15" t="n"/>
      <c r="G148" s="15" t="n"/>
      <c r="H148" s="15" t="n"/>
      <c r="I148" s="15" t="n"/>
      <c r="J148" s="15" t="n"/>
      <c r="K148" s="17" t="n"/>
      <c r="L148" s="17" t="n"/>
      <c r="M148" s="15" t="n"/>
      <c r="N148" s="15" t="n"/>
    </row>
    <row r="149">
      <c r="A149" s="15" t="n">
        <v>145</v>
      </c>
      <c r="B149" s="16" t="n"/>
      <c r="C149" s="15" t="n"/>
      <c r="D149" s="15">
        <f>IF(C149="","",IF(C149&gt;=9,"Promotor",IF(C149&gt;=7,"Pasivo","Detractor")))</f>
        <v/>
      </c>
      <c r="E149" s="17" t="n"/>
      <c r="F149" s="15" t="n"/>
      <c r="G149" s="15" t="n"/>
      <c r="H149" s="15" t="n"/>
      <c r="I149" s="15" t="n"/>
      <c r="J149" s="15" t="n"/>
      <c r="K149" s="17" t="n"/>
      <c r="L149" s="17" t="n"/>
      <c r="M149" s="15" t="n"/>
      <c r="N149" s="15" t="n"/>
    </row>
    <row r="150">
      <c r="A150" s="15" t="n">
        <v>146</v>
      </c>
      <c r="B150" s="16" t="n"/>
      <c r="C150" s="15" t="n"/>
      <c r="D150" s="15">
        <f>IF(C150="","",IF(C150&gt;=9,"Promotor",IF(C150&gt;=7,"Pasivo","Detractor")))</f>
        <v/>
      </c>
      <c r="E150" s="17" t="n"/>
      <c r="F150" s="15" t="n"/>
      <c r="G150" s="15" t="n"/>
      <c r="H150" s="15" t="n"/>
      <c r="I150" s="15" t="n"/>
      <c r="J150" s="15" t="n"/>
      <c r="K150" s="17" t="n"/>
      <c r="L150" s="17" t="n"/>
      <c r="M150" s="15" t="n"/>
      <c r="N150" s="15" t="n"/>
    </row>
    <row r="151">
      <c r="A151" s="15" t="n">
        <v>147</v>
      </c>
      <c r="B151" s="16" t="n"/>
      <c r="C151" s="15" t="n"/>
      <c r="D151" s="15">
        <f>IF(C151="","",IF(C151&gt;=9,"Promotor",IF(C151&gt;=7,"Pasivo","Detractor")))</f>
        <v/>
      </c>
      <c r="E151" s="17" t="n"/>
      <c r="F151" s="15" t="n"/>
      <c r="G151" s="15" t="n"/>
      <c r="H151" s="15" t="n"/>
      <c r="I151" s="15" t="n"/>
      <c r="J151" s="15" t="n"/>
      <c r="K151" s="17" t="n"/>
      <c r="L151" s="17" t="n"/>
      <c r="M151" s="15" t="n"/>
      <c r="N151" s="15" t="n"/>
    </row>
    <row r="152">
      <c r="A152" s="15" t="n">
        <v>148</v>
      </c>
      <c r="B152" s="16" t="n"/>
      <c r="C152" s="15" t="n"/>
      <c r="D152" s="15">
        <f>IF(C152="","",IF(C152&gt;=9,"Promotor",IF(C152&gt;=7,"Pasivo","Detractor")))</f>
        <v/>
      </c>
      <c r="E152" s="17" t="n"/>
      <c r="F152" s="15" t="n"/>
      <c r="G152" s="15" t="n"/>
      <c r="H152" s="15" t="n"/>
      <c r="I152" s="15" t="n"/>
      <c r="J152" s="15" t="n"/>
      <c r="K152" s="17" t="n"/>
      <c r="L152" s="17" t="n"/>
      <c r="M152" s="15" t="n"/>
      <c r="N152" s="15" t="n"/>
    </row>
    <row r="153">
      <c r="A153" s="15" t="n">
        <v>149</v>
      </c>
      <c r="B153" s="16" t="n"/>
      <c r="C153" s="15" t="n"/>
      <c r="D153" s="15">
        <f>IF(C153="","",IF(C153&gt;=9,"Promotor",IF(C153&gt;=7,"Pasivo","Detractor")))</f>
        <v/>
      </c>
      <c r="E153" s="17" t="n"/>
      <c r="F153" s="15" t="n"/>
      <c r="G153" s="15" t="n"/>
      <c r="H153" s="15" t="n"/>
      <c r="I153" s="15" t="n"/>
      <c r="J153" s="15" t="n"/>
      <c r="K153" s="17" t="n"/>
      <c r="L153" s="17" t="n"/>
      <c r="M153" s="15" t="n"/>
      <c r="N153" s="15" t="n"/>
    </row>
    <row r="154">
      <c r="A154" s="15" t="n">
        <v>150</v>
      </c>
      <c r="B154" s="16" t="n"/>
      <c r="C154" s="15" t="n"/>
      <c r="D154" s="15">
        <f>IF(C154="","",IF(C154&gt;=9,"Promotor",IF(C154&gt;=7,"Pasivo","Detractor")))</f>
        <v/>
      </c>
      <c r="E154" s="17" t="n"/>
      <c r="F154" s="15" t="n"/>
      <c r="G154" s="15" t="n"/>
      <c r="H154" s="15" t="n"/>
      <c r="I154" s="15" t="n"/>
      <c r="J154" s="15" t="n"/>
      <c r="K154" s="17" t="n"/>
      <c r="L154" s="17" t="n"/>
      <c r="M154" s="15" t="n"/>
      <c r="N154" s="15" t="n"/>
    </row>
    <row r="155">
      <c r="A155" s="15" t="n">
        <v>151</v>
      </c>
      <c r="B155" s="16" t="n"/>
      <c r="C155" s="15" t="n"/>
      <c r="D155" s="15">
        <f>IF(C155="","",IF(C155&gt;=9,"Promotor",IF(C155&gt;=7,"Pasivo","Detractor")))</f>
        <v/>
      </c>
      <c r="E155" s="17" t="n"/>
      <c r="F155" s="15" t="n"/>
      <c r="G155" s="15" t="n"/>
      <c r="H155" s="15" t="n"/>
      <c r="I155" s="15" t="n"/>
      <c r="J155" s="15" t="n"/>
      <c r="K155" s="17" t="n"/>
      <c r="L155" s="17" t="n"/>
      <c r="M155" s="15" t="n"/>
      <c r="N155" s="15" t="n"/>
    </row>
    <row r="156">
      <c r="A156" s="15" t="n">
        <v>152</v>
      </c>
      <c r="B156" s="16" t="n"/>
      <c r="C156" s="15" t="n"/>
      <c r="D156" s="15">
        <f>IF(C156="","",IF(C156&gt;=9,"Promotor",IF(C156&gt;=7,"Pasivo","Detractor")))</f>
        <v/>
      </c>
      <c r="E156" s="17" t="n"/>
      <c r="F156" s="15" t="n"/>
      <c r="G156" s="15" t="n"/>
      <c r="H156" s="15" t="n"/>
      <c r="I156" s="15" t="n"/>
      <c r="J156" s="15" t="n"/>
      <c r="K156" s="17" t="n"/>
      <c r="L156" s="17" t="n"/>
      <c r="M156" s="15" t="n"/>
      <c r="N156" s="15" t="n"/>
    </row>
    <row r="157">
      <c r="A157" s="15" t="n">
        <v>153</v>
      </c>
      <c r="B157" s="16" t="n"/>
      <c r="C157" s="15" t="n"/>
      <c r="D157" s="15">
        <f>IF(C157="","",IF(C157&gt;=9,"Promotor",IF(C157&gt;=7,"Pasivo","Detractor")))</f>
        <v/>
      </c>
      <c r="E157" s="17" t="n"/>
      <c r="F157" s="15" t="n"/>
      <c r="G157" s="15" t="n"/>
      <c r="H157" s="15" t="n"/>
      <c r="I157" s="15" t="n"/>
      <c r="J157" s="15" t="n"/>
      <c r="K157" s="17" t="n"/>
      <c r="L157" s="17" t="n"/>
      <c r="M157" s="15" t="n"/>
      <c r="N157" s="15" t="n"/>
    </row>
    <row r="158">
      <c r="A158" s="15" t="n">
        <v>154</v>
      </c>
      <c r="B158" s="16" t="n"/>
      <c r="C158" s="15" t="n"/>
      <c r="D158" s="15">
        <f>IF(C158="","",IF(C158&gt;=9,"Promotor",IF(C158&gt;=7,"Pasivo","Detractor")))</f>
        <v/>
      </c>
      <c r="E158" s="17" t="n"/>
      <c r="F158" s="15" t="n"/>
      <c r="G158" s="15" t="n"/>
      <c r="H158" s="15" t="n"/>
      <c r="I158" s="15" t="n"/>
      <c r="J158" s="15" t="n"/>
      <c r="K158" s="17" t="n"/>
      <c r="L158" s="17" t="n"/>
      <c r="M158" s="15" t="n"/>
      <c r="N158" s="15" t="n"/>
    </row>
    <row r="159">
      <c r="A159" s="15" t="n">
        <v>155</v>
      </c>
      <c r="B159" s="16" t="n"/>
      <c r="C159" s="15" t="n"/>
      <c r="D159" s="15">
        <f>IF(C159="","",IF(C159&gt;=9,"Promotor",IF(C159&gt;=7,"Pasivo","Detractor")))</f>
        <v/>
      </c>
      <c r="E159" s="17" t="n"/>
      <c r="F159" s="15" t="n"/>
      <c r="G159" s="15" t="n"/>
      <c r="H159" s="15" t="n"/>
      <c r="I159" s="15" t="n"/>
      <c r="J159" s="15" t="n"/>
      <c r="K159" s="17" t="n"/>
      <c r="L159" s="17" t="n"/>
      <c r="M159" s="15" t="n"/>
      <c r="N159" s="15" t="n"/>
    </row>
    <row r="160">
      <c r="A160" s="15" t="n">
        <v>156</v>
      </c>
      <c r="B160" s="16" t="n"/>
      <c r="C160" s="15" t="n"/>
      <c r="D160" s="15">
        <f>IF(C160="","",IF(C160&gt;=9,"Promotor",IF(C160&gt;=7,"Pasivo","Detractor")))</f>
        <v/>
      </c>
      <c r="E160" s="17" t="n"/>
      <c r="F160" s="15" t="n"/>
      <c r="G160" s="15" t="n"/>
      <c r="H160" s="15" t="n"/>
      <c r="I160" s="15" t="n"/>
      <c r="J160" s="15" t="n"/>
      <c r="K160" s="17" t="n"/>
      <c r="L160" s="17" t="n"/>
      <c r="M160" s="15" t="n"/>
      <c r="N160" s="15" t="n"/>
    </row>
    <row r="161">
      <c r="A161" s="15" t="n">
        <v>157</v>
      </c>
      <c r="B161" s="16" t="n"/>
      <c r="C161" s="15" t="n"/>
      <c r="D161" s="15">
        <f>IF(C161="","",IF(C161&gt;=9,"Promotor",IF(C161&gt;=7,"Pasivo","Detractor")))</f>
        <v/>
      </c>
      <c r="E161" s="17" t="n"/>
      <c r="F161" s="15" t="n"/>
      <c r="G161" s="15" t="n"/>
      <c r="H161" s="15" t="n"/>
      <c r="I161" s="15" t="n"/>
      <c r="J161" s="15" t="n"/>
      <c r="K161" s="17" t="n"/>
      <c r="L161" s="17" t="n"/>
      <c r="M161" s="15" t="n"/>
      <c r="N161" s="15" t="n"/>
    </row>
    <row r="162">
      <c r="A162" s="15" t="n">
        <v>158</v>
      </c>
      <c r="B162" s="16" t="n"/>
      <c r="C162" s="15" t="n"/>
      <c r="D162" s="15">
        <f>IF(C162="","",IF(C162&gt;=9,"Promotor",IF(C162&gt;=7,"Pasivo","Detractor")))</f>
        <v/>
      </c>
      <c r="E162" s="17" t="n"/>
      <c r="F162" s="15" t="n"/>
      <c r="G162" s="15" t="n"/>
      <c r="H162" s="15" t="n"/>
      <c r="I162" s="15" t="n"/>
      <c r="J162" s="15" t="n"/>
      <c r="K162" s="17" t="n"/>
      <c r="L162" s="17" t="n"/>
      <c r="M162" s="15" t="n"/>
      <c r="N162" s="15" t="n"/>
    </row>
    <row r="163">
      <c r="A163" s="15" t="n">
        <v>159</v>
      </c>
      <c r="B163" s="16" t="n"/>
      <c r="C163" s="15" t="n"/>
      <c r="D163" s="15">
        <f>IF(C163="","",IF(C163&gt;=9,"Promotor",IF(C163&gt;=7,"Pasivo","Detractor")))</f>
        <v/>
      </c>
      <c r="E163" s="17" t="n"/>
      <c r="F163" s="15" t="n"/>
      <c r="G163" s="15" t="n"/>
      <c r="H163" s="15" t="n"/>
      <c r="I163" s="15" t="n"/>
      <c r="J163" s="15" t="n"/>
      <c r="K163" s="17" t="n"/>
      <c r="L163" s="17" t="n"/>
      <c r="M163" s="15" t="n"/>
      <c r="N163" s="15" t="n"/>
    </row>
    <row r="164">
      <c r="A164" s="15" t="n">
        <v>160</v>
      </c>
      <c r="B164" s="16" t="n"/>
      <c r="C164" s="15" t="n"/>
      <c r="D164" s="15">
        <f>IF(C164="","",IF(C164&gt;=9,"Promotor",IF(C164&gt;=7,"Pasivo","Detractor")))</f>
        <v/>
      </c>
      <c r="E164" s="17" t="n"/>
      <c r="F164" s="15" t="n"/>
      <c r="G164" s="15" t="n"/>
      <c r="H164" s="15" t="n"/>
      <c r="I164" s="15" t="n"/>
      <c r="J164" s="15" t="n"/>
      <c r="K164" s="17" t="n"/>
      <c r="L164" s="17" t="n"/>
      <c r="M164" s="15" t="n"/>
      <c r="N164" s="15" t="n"/>
    </row>
    <row r="165">
      <c r="A165" s="15" t="n">
        <v>161</v>
      </c>
      <c r="B165" s="16" t="n"/>
      <c r="C165" s="15" t="n"/>
      <c r="D165" s="15">
        <f>IF(C165="","",IF(C165&gt;=9,"Promotor",IF(C165&gt;=7,"Pasivo","Detractor")))</f>
        <v/>
      </c>
      <c r="E165" s="17" t="n"/>
      <c r="F165" s="15" t="n"/>
      <c r="G165" s="15" t="n"/>
      <c r="H165" s="15" t="n"/>
      <c r="I165" s="15" t="n"/>
      <c r="J165" s="15" t="n"/>
      <c r="K165" s="17" t="n"/>
      <c r="L165" s="17" t="n"/>
      <c r="M165" s="15" t="n"/>
      <c r="N165" s="15" t="n"/>
    </row>
    <row r="166">
      <c r="A166" s="15" t="n">
        <v>162</v>
      </c>
      <c r="B166" s="16" t="n"/>
      <c r="C166" s="15" t="n"/>
      <c r="D166" s="15">
        <f>IF(C166="","",IF(C166&gt;=9,"Promotor",IF(C166&gt;=7,"Pasivo","Detractor")))</f>
        <v/>
      </c>
      <c r="E166" s="17" t="n"/>
      <c r="F166" s="15" t="n"/>
      <c r="G166" s="15" t="n"/>
      <c r="H166" s="15" t="n"/>
      <c r="I166" s="15" t="n"/>
      <c r="J166" s="15" t="n"/>
      <c r="K166" s="17" t="n"/>
      <c r="L166" s="17" t="n"/>
      <c r="M166" s="15" t="n"/>
      <c r="N166" s="15" t="n"/>
    </row>
    <row r="167">
      <c r="A167" s="15" t="n">
        <v>163</v>
      </c>
      <c r="B167" s="16" t="n"/>
      <c r="C167" s="15" t="n"/>
      <c r="D167" s="15">
        <f>IF(C167="","",IF(C167&gt;=9,"Promotor",IF(C167&gt;=7,"Pasivo","Detractor")))</f>
        <v/>
      </c>
      <c r="E167" s="17" t="n"/>
      <c r="F167" s="15" t="n"/>
      <c r="G167" s="15" t="n"/>
      <c r="H167" s="15" t="n"/>
      <c r="I167" s="15" t="n"/>
      <c r="J167" s="15" t="n"/>
      <c r="K167" s="17" t="n"/>
      <c r="L167" s="17" t="n"/>
      <c r="M167" s="15" t="n"/>
      <c r="N167" s="15" t="n"/>
    </row>
    <row r="168">
      <c r="A168" s="15" t="n">
        <v>164</v>
      </c>
      <c r="B168" s="16" t="n"/>
      <c r="C168" s="15" t="n"/>
      <c r="D168" s="15">
        <f>IF(C168="","",IF(C168&gt;=9,"Promotor",IF(C168&gt;=7,"Pasivo","Detractor")))</f>
        <v/>
      </c>
      <c r="E168" s="17" t="n"/>
      <c r="F168" s="15" t="n"/>
      <c r="G168" s="15" t="n"/>
      <c r="H168" s="15" t="n"/>
      <c r="I168" s="15" t="n"/>
      <c r="J168" s="15" t="n"/>
      <c r="K168" s="17" t="n"/>
      <c r="L168" s="17" t="n"/>
      <c r="M168" s="15" t="n"/>
      <c r="N168" s="15" t="n"/>
    </row>
    <row r="169">
      <c r="A169" s="15" t="n">
        <v>165</v>
      </c>
      <c r="B169" s="16" t="n"/>
      <c r="C169" s="15" t="n"/>
      <c r="D169" s="15">
        <f>IF(C169="","",IF(C169&gt;=9,"Promotor",IF(C169&gt;=7,"Pasivo","Detractor")))</f>
        <v/>
      </c>
      <c r="E169" s="17" t="n"/>
      <c r="F169" s="15" t="n"/>
      <c r="G169" s="15" t="n"/>
      <c r="H169" s="15" t="n"/>
      <c r="I169" s="15" t="n"/>
      <c r="J169" s="15" t="n"/>
      <c r="K169" s="17" t="n"/>
      <c r="L169" s="17" t="n"/>
      <c r="M169" s="15" t="n"/>
      <c r="N169" s="15" t="n"/>
    </row>
    <row r="170">
      <c r="A170" s="15" t="n">
        <v>166</v>
      </c>
      <c r="B170" s="16" t="n"/>
      <c r="C170" s="15" t="n"/>
      <c r="D170" s="15">
        <f>IF(C170="","",IF(C170&gt;=9,"Promotor",IF(C170&gt;=7,"Pasivo","Detractor")))</f>
        <v/>
      </c>
      <c r="E170" s="17" t="n"/>
      <c r="F170" s="15" t="n"/>
      <c r="G170" s="15" t="n"/>
      <c r="H170" s="15" t="n"/>
      <c r="I170" s="15" t="n"/>
      <c r="J170" s="15" t="n"/>
      <c r="K170" s="17" t="n"/>
      <c r="L170" s="17" t="n"/>
      <c r="M170" s="15" t="n"/>
      <c r="N170" s="15" t="n"/>
    </row>
    <row r="171">
      <c r="A171" s="15" t="n">
        <v>167</v>
      </c>
      <c r="B171" s="16" t="n"/>
      <c r="C171" s="15" t="n"/>
      <c r="D171" s="15">
        <f>IF(C171="","",IF(C171&gt;=9,"Promotor",IF(C171&gt;=7,"Pasivo","Detractor")))</f>
        <v/>
      </c>
      <c r="E171" s="17" t="n"/>
      <c r="F171" s="15" t="n"/>
      <c r="G171" s="15" t="n"/>
      <c r="H171" s="15" t="n"/>
      <c r="I171" s="15" t="n"/>
      <c r="J171" s="15" t="n"/>
      <c r="K171" s="17" t="n"/>
      <c r="L171" s="17" t="n"/>
      <c r="M171" s="15" t="n"/>
      <c r="N171" s="15" t="n"/>
    </row>
    <row r="172">
      <c r="A172" s="15" t="n">
        <v>168</v>
      </c>
      <c r="B172" s="16" t="n"/>
      <c r="C172" s="15" t="n"/>
      <c r="D172" s="15">
        <f>IF(C172="","",IF(C172&gt;=9,"Promotor",IF(C172&gt;=7,"Pasivo","Detractor")))</f>
        <v/>
      </c>
      <c r="E172" s="17" t="n"/>
      <c r="F172" s="15" t="n"/>
      <c r="G172" s="15" t="n"/>
      <c r="H172" s="15" t="n"/>
      <c r="I172" s="15" t="n"/>
      <c r="J172" s="15" t="n"/>
      <c r="K172" s="17" t="n"/>
      <c r="L172" s="17" t="n"/>
      <c r="M172" s="15" t="n"/>
      <c r="N172" s="15" t="n"/>
    </row>
    <row r="173">
      <c r="A173" s="15" t="n">
        <v>169</v>
      </c>
      <c r="B173" s="16" t="n"/>
      <c r="C173" s="15" t="n"/>
      <c r="D173" s="15">
        <f>IF(C173="","",IF(C173&gt;=9,"Promotor",IF(C173&gt;=7,"Pasivo","Detractor")))</f>
        <v/>
      </c>
      <c r="E173" s="17" t="n"/>
      <c r="F173" s="15" t="n"/>
      <c r="G173" s="15" t="n"/>
      <c r="H173" s="15" t="n"/>
      <c r="I173" s="15" t="n"/>
      <c r="J173" s="15" t="n"/>
      <c r="K173" s="17" t="n"/>
      <c r="L173" s="17" t="n"/>
      <c r="M173" s="15" t="n"/>
      <c r="N173" s="15" t="n"/>
    </row>
    <row r="174">
      <c r="A174" s="15" t="n">
        <v>170</v>
      </c>
      <c r="B174" s="16" t="n"/>
      <c r="C174" s="15" t="n"/>
      <c r="D174" s="15">
        <f>IF(C174="","",IF(C174&gt;=9,"Promotor",IF(C174&gt;=7,"Pasivo","Detractor")))</f>
        <v/>
      </c>
      <c r="E174" s="17" t="n"/>
      <c r="F174" s="15" t="n"/>
      <c r="G174" s="15" t="n"/>
      <c r="H174" s="15" t="n"/>
      <c r="I174" s="15" t="n"/>
      <c r="J174" s="15" t="n"/>
      <c r="K174" s="17" t="n"/>
      <c r="L174" s="17" t="n"/>
      <c r="M174" s="15" t="n"/>
      <c r="N174" s="15" t="n"/>
    </row>
    <row r="175">
      <c r="A175" s="15" t="n">
        <v>171</v>
      </c>
      <c r="B175" s="16" t="n"/>
      <c r="C175" s="15" t="n"/>
      <c r="D175" s="15">
        <f>IF(C175="","",IF(C175&gt;=9,"Promotor",IF(C175&gt;=7,"Pasivo","Detractor")))</f>
        <v/>
      </c>
      <c r="E175" s="17" t="n"/>
      <c r="F175" s="15" t="n"/>
      <c r="G175" s="15" t="n"/>
      <c r="H175" s="15" t="n"/>
      <c r="I175" s="15" t="n"/>
      <c r="J175" s="15" t="n"/>
      <c r="K175" s="17" t="n"/>
      <c r="L175" s="17" t="n"/>
      <c r="M175" s="15" t="n"/>
      <c r="N175" s="15" t="n"/>
    </row>
    <row r="176">
      <c r="A176" s="15" t="n">
        <v>172</v>
      </c>
      <c r="B176" s="16" t="n"/>
      <c r="C176" s="15" t="n"/>
      <c r="D176" s="15">
        <f>IF(C176="","",IF(C176&gt;=9,"Promotor",IF(C176&gt;=7,"Pasivo","Detractor")))</f>
        <v/>
      </c>
      <c r="E176" s="17" t="n"/>
      <c r="F176" s="15" t="n"/>
      <c r="G176" s="15" t="n"/>
      <c r="H176" s="15" t="n"/>
      <c r="I176" s="15" t="n"/>
      <c r="J176" s="15" t="n"/>
      <c r="K176" s="17" t="n"/>
      <c r="L176" s="17" t="n"/>
      <c r="M176" s="15" t="n"/>
      <c r="N176" s="15" t="n"/>
    </row>
    <row r="177">
      <c r="A177" s="15" t="n">
        <v>173</v>
      </c>
      <c r="B177" s="16" t="n"/>
      <c r="C177" s="15" t="n"/>
      <c r="D177" s="15">
        <f>IF(C177="","",IF(C177&gt;=9,"Promotor",IF(C177&gt;=7,"Pasivo","Detractor")))</f>
        <v/>
      </c>
      <c r="E177" s="17" t="n"/>
      <c r="F177" s="15" t="n"/>
      <c r="G177" s="15" t="n"/>
      <c r="H177" s="15" t="n"/>
      <c r="I177" s="15" t="n"/>
      <c r="J177" s="15" t="n"/>
      <c r="K177" s="17" t="n"/>
      <c r="L177" s="17" t="n"/>
      <c r="M177" s="15" t="n"/>
      <c r="N177" s="15" t="n"/>
    </row>
    <row r="178">
      <c r="A178" s="15" t="n">
        <v>174</v>
      </c>
      <c r="B178" s="16" t="n"/>
      <c r="C178" s="15" t="n"/>
      <c r="D178" s="15">
        <f>IF(C178="","",IF(C178&gt;=9,"Promotor",IF(C178&gt;=7,"Pasivo","Detractor")))</f>
        <v/>
      </c>
      <c r="E178" s="17" t="n"/>
      <c r="F178" s="15" t="n"/>
      <c r="G178" s="15" t="n"/>
      <c r="H178" s="15" t="n"/>
      <c r="I178" s="15" t="n"/>
      <c r="J178" s="15" t="n"/>
      <c r="K178" s="17" t="n"/>
      <c r="L178" s="17" t="n"/>
      <c r="M178" s="15" t="n"/>
      <c r="N178" s="15" t="n"/>
    </row>
    <row r="179">
      <c r="A179" s="15" t="n">
        <v>175</v>
      </c>
      <c r="B179" s="16" t="n"/>
      <c r="C179" s="15" t="n"/>
      <c r="D179" s="15">
        <f>IF(C179="","",IF(C179&gt;=9,"Promotor",IF(C179&gt;=7,"Pasivo","Detractor")))</f>
        <v/>
      </c>
      <c r="E179" s="17" t="n"/>
      <c r="F179" s="15" t="n"/>
      <c r="G179" s="15" t="n"/>
      <c r="H179" s="15" t="n"/>
      <c r="I179" s="15" t="n"/>
      <c r="J179" s="15" t="n"/>
      <c r="K179" s="17" t="n"/>
      <c r="L179" s="17" t="n"/>
      <c r="M179" s="15" t="n"/>
      <c r="N179" s="15" t="n"/>
    </row>
    <row r="180">
      <c r="A180" s="15" t="n">
        <v>176</v>
      </c>
      <c r="B180" s="16" t="n"/>
      <c r="C180" s="15" t="n"/>
      <c r="D180" s="15">
        <f>IF(C180="","",IF(C180&gt;=9,"Promotor",IF(C180&gt;=7,"Pasivo","Detractor")))</f>
        <v/>
      </c>
      <c r="E180" s="17" t="n"/>
      <c r="F180" s="15" t="n"/>
      <c r="G180" s="15" t="n"/>
      <c r="H180" s="15" t="n"/>
      <c r="I180" s="15" t="n"/>
      <c r="J180" s="15" t="n"/>
      <c r="K180" s="17" t="n"/>
      <c r="L180" s="17" t="n"/>
      <c r="M180" s="15" t="n"/>
      <c r="N180" s="15" t="n"/>
    </row>
    <row r="181">
      <c r="A181" s="15" t="n">
        <v>177</v>
      </c>
      <c r="B181" s="16" t="n"/>
      <c r="C181" s="15" t="n"/>
      <c r="D181" s="15">
        <f>IF(C181="","",IF(C181&gt;=9,"Promotor",IF(C181&gt;=7,"Pasivo","Detractor")))</f>
        <v/>
      </c>
      <c r="E181" s="17" t="n"/>
      <c r="F181" s="15" t="n"/>
      <c r="G181" s="15" t="n"/>
      <c r="H181" s="15" t="n"/>
      <c r="I181" s="15" t="n"/>
      <c r="J181" s="15" t="n"/>
      <c r="K181" s="17" t="n"/>
      <c r="L181" s="17" t="n"/>
      <c r="M181" s="15" t="n"/>
      <c r="N181" s="15" t="n"/>
    </row>
    <row r="182">
      <c r="A182" s="15" t="n">
        <v>178</v>
      </c>
      <c r="B182" s="16" t="n"/>
      <c r="C182" s="15" t="n"/>
      <c r="D182" s="15">
        <f>IF(C182="","",IF(C182&gt;=9,"Promotor",IF(C182&gt;=7,"Pasivo","Detractor")))</f>
        <v/>
      </c>
      <c r="E182" s="17" t="n"/>
      <c r="F182" s="15" t="n"/>
      <c r="G182" s="15" t="n"/>
      <c r="H182" s="15" t="n"/>
      <c r="I182" s="15" t="n"/>
      <c r="J182" s="15" t="n"/>
      <c r="K182" s="17" t="n"/>
      <c r="L182" s="17" t="n"/>
      <c r="M182" s="15" t="n"/>
      <c r="N182" s="15" t="n"/>
    </row>
    <row r="183">
      <c r="A183" s="15" t="n">
        <v>179</v>
      </c>
      <c r="B183" s="16" t="n"/>
      <c r="C183" s="15" t="n"/>
      <c r="D183" s="15">
        <f>IF(C183="","",IF(C183&gt;=9,"Promotor",IF(C183&gt;=7,"Pasivo","Detractor")))</f>
        <v/>
      </c>
      <c r="E183" s="17" t="n"/>
      <c r="F183" s="15" t="n"/>
      <c r="G183" s="15" t="n"/>
      <c r="H183" s="15" t="n"/>
      <c r="I183" s="15" t="n"/>
      <c r="J183" s="15" t="n"/>
      <c r="K183" s="17" t="n"/>
      <c r="L183" s="17" t="n"/>
      <c r="M183" s="15" t="n"/>
      <c r="N183" s="15" t="n"/>
    </row>
    <row r="184">
      <c r="A184" s="15" t="n">
        <v>180</v>
      </c>
      <c r="B184" s="16" t="n"/>
      <c r="C184" s="15" t="n"/>
      <c r="D184" s="15">
        <f>IF(C184="","",IF(C184&gt;=9,"Promotor",IF(C184&gt;=7,"Pasivo","Detractor")))</f>
        <v/>
      </c>
      <c r="E184" s="17" t="n"/>
      <c r="F184" s="15" t="n"/>
      <c r="G184" s="15" t="n"/>
      <c r="H184" s="15" t="n"/>
      <c r="I184" s="15" t="n"/>
      <c r="J184" s="15" t="n"/>
      <c r="K184" s="17" t="n"/>
      <c r="L184" s="17" t="n"/>
      <c r="M184" s="15" t="n"/>
      <c r="N184" s="15" t="n"/>
    </row>
    <row r="185">
      <c r="A185" s="15" t="n">
        <v>181</v>
      </c>
      <c r="B185" s="16" t="n"/>
      <c r="C185" s="15" t="n"/>
      <c r="D185" s="15">
        <f>IF(C185="","",IF(C185&gt;=9,"Promotor",IF(C185&gt;=7,"Pasivo","Detractor")))</f>
        <v/>
      </c>
      <c r="E185" s="17" t="n"/>
      <c r="F185" s="15" t="n"/>
      <c r="G185" s="15" t="n"/>
      <c r="H185" s="15" t="n"/>
      <c r="I185" s="15" t="n"/>
      <c r="J185" s="15" t="n"/>
      <c r="K185" s="17" t="n"/>
      <c r="L185" s="17" t="n"/>
      <c r="M185" s="15" t="n"/>
      <c r="N185" s="15" t="n"/>
    </row>
    <row r="186">
      <c r="A186" s="15" t="n">
        <v>182</v>
      </c>
      <c r="B186" s="16" t="n"/>
      <c r="C186" s="15" t="n"/>
      <c r="D186" s="15">
        <f>IF(C186="","",IF(C186&gt;=9,"Promotor",IF(C186&gt;=7,"Pasivo","Detractor")))</f>
        <v/>
      </c>
      <c r="E186" s="17" t="n"/>
      <c r="F186" s="15" t="n"/>
      <c r="G186" s="15" t="n"/>
      <c r="H186" s="15" t="n"/>
      <c r="I186" s="15" t="n"/>
      <c r="J186" s="15" t="n"/>
      <c r="K186" s="17" t="n"/>
      <c r="L186" s="17" t="n"/>
      <c r="M186" s="15" t="n"/>
      <c r="N186" s="15" t="n"/>
    </row>
    <row r="187">
      <c r="A187" s="15" t="n">
        <v>183</v>
      </c>
      <c r="B187" s="16" t="n"/>
      <c r="C187" s="15" t="n"/>
      <c r="D187" s="15">
        <f>IF(C187="","",IF(C187&gt;=9,"Promotor",IF(C187&gt;=7,"Pasivo","Detractor")))</f>
        <v/>
      </c>
      <c r="E187" s="17" t="n"/>
      <c r="F187" s="15" t="n"/>
      <c r="G187" s="15" t="n"/>
      <c r="H187" s="15" t="n"/>
      <c r="I187" s="15" t="n"/>
      <c r="J187" s="15" t="n"/>
      <c r="K187" s="17" t="n"/>
      <c r="L187" s="17" t="n"/>
      <c r="M187" s="15" t="n"/>
      <c r="N187" s="15" t="n"/>
    </row>
    <row r="188">
      <c r="A188" s="15" t="n">
        <v>184</v>
      </c>
      <c r="B188" s="16" t="n"/>
      <c r="C188" s="15" t="n"/>
      <c r="D188" s="15">
        <f>IF(C188="","",IF(C188&gt;=9,"Promotor",IF(C188&gt;=7,"Pasivo","Detractor")))</f>
        <v/>
      </c>
      <c r="E188" s="17" t="n"/>
      <c r="F188" s="15" t="n"/>
      <c r="G188" s="15" t="n"/>
      <c r="H188" s="15" t="n"/>
      <c r="I188" s="15" t="n"/>
      <c r="J188" s="15" t="n"/>
      <c r="K188" s="17" t="n"/>
      <c r="L188" s="17" t="n"/>
      <c r="M188" s="15" t="n"/>
      <c r="N188" s="15" t="n"/>
    </row>
    <row r="189">
      <c r="A189" s="15" t="n">
        <v>185</v>
      </c>
      <c r="B189" s="16" t="n"/>
      <c r="C189" s="15" t="n"/>
      <c r="D189" s="15">
        <f>IF(C189="","",IF(C189&gt;=9,"Promotor",IF(C189&gt;=7,"Pasivo","Detractor")))</f>
        <v/>
      </c>
      <c r="E189" s="17" t="n"/>
      <c r="F189" s="15" t="n"/>
      <c r="G189" s="15" t="n"/>
      <c r="H189" s="15" t="n"/>
      <c r="I189" s="15" t="n"/>
      <c r="J189" s="15" t="n"/>
      <c r="K189" s="17" t="n"/>
      <c r="L189" s="17" t="n"/>
      <c r="M189" s="15" t="n"/>
      <c r="N189" s="15" t="n"/>
    </row>
    <row r="190">
      <c r="A190" s="15" t="n">
        <v>186</v>
      </c>
      <c r="B190" s="16" t="n"/>
      <c r="C190" s="15" t="n"/>
      <c r="D190" s="15">
        <f>IF(C190="","",IF(C190&gt;=9,"Promotor",IF(C190&gt;=7,"Pasivo","Detractor")))</f>
        <v/>
      </c>
      <c r="E190" s="17" t="n"/>
      <c r="F190" s="15" t="n"/>
      <c r="G190" s="15" t="n"/>
      <c r="H190" s="15" t="n"/>
      <c r="I190" s="15" t="n"/>
      <c r="J190" s="15" t="n"/>
      <c r="K190" s="17" t="n"/>
      <c r="L190" s="17" t="n"/>
      <c r="M190" s="15" t="n"/>
      <c r="N190" s="15" t="n"/>
    </row>
    <row r="191">
      <c r="A191" s="15" t="n">
        <v>187</v>
      </c>
      <c r="B191" s="16" t="n"/>
      <c r="C191" s="15" t="n"/>
      <c r="D191" s="15">
        <f>IF(C191="","",IF(C191&gt;=9,"Promotor",IF(C191&gt;=7,"Pasivo","Detractor")))</f>
        <v/>
      </c>
      <c r="E191" s="17" t="n"/>
      <c r="F191" s="15" t="n"/>
      <c r="G191" s="15" t="n"/>
      <c r="H191" s="15" t="n"/>
      <c r="I191" s="15" t="n"/>
      <c r="J191" s="15" t="n"/>
      <c r="K191" s="17" t="n"/>
      <c r="L191" s="17" t="n"/>
      <c r="M191" s="15" t="n"/>
      <c r="N191" s="15" t="n"/>
    </row>
    <row r="192">
      <c r="A192" s="15" t="n">
        <v>188</v>
      </c>
      <c r="B192" s="16" t="n"/>
      <c r="C192" s="15" t="n"/>
      <c r="D192" s="15">
        <f>IF(C192="","",IF(C192&gt;=9,"Promotor",IF(C192&gt;=7,"Pasivo","Detractor")))</f>
        <v/>
      </c>
      <c r="E192" s="17" t="n"/>
      <c r="F192" s="15" t="n"/>
      <c r="G192" s="15" t="n"/>
      <c r="H192" s="15" t="n"/>
      <c r="I192" s="15" t="n"/>
      <c r="J192" s="15" t="n"/>
      <c r="K192" s="17" t="n"/>
      <c r="L192" s="17" t="n"/>
      <c r="M192" s="15" t="n"/>
      <c r="N192" s="15" t="n"/>
    </row>
    <row r="193">
      <c r="A193" s="15" t="n">
        <v>189</v>
      </c>
      <c r="B193" s="16" t="n"/>
      <c r="C193" s="15" t="n"/>
      <c r="D193" s="15">
        <f>IF(C193="","",IF(C193&gt;=9,"Promotor",IF(C193&gt;=7,"Pasivo","Detractor")))</f>
        <v/>
      </c>
      <c r="E193" s="17" t="n"/>
      <c r="F193" s="15" t="n"/>
      <c r="G193" s="15" t="n"/>
      <c r="H193" s="15" t="n"/>
      <c r="I193" s="15" t="n"/>
      <c r="J193" s="15" t="n"/>
      <c r="K193" s="17" t="n"/>
      <c r="L193" s="17" t="n"/>
      <c r="M193" s="15" t="n"/>
      <c r="N193" s="15" t="n"/>
    </row>
    <row r="194">
      <c r="A194" s="15" t="n">
        <v>190</v>
      </c>
      <c r="B194" s="16" t="n"/>
      <c r="C194" s="15" t="n"/>
      <c r="D194" s="15">
        <f>IF(C194="","",IF(C194&gt;=9,"Promotor",IF(C194&gt;=7,"Pasivo","Detractor")))</f>
        <v/>
      </c>
      <c r="E194" s="17" t="n"/>
      <c r="F194" s="15" t="n"/>
      <c r="G194" s="15" t="n"/>
      <c r="H194" s="15" t="n"/>
      <c r="I194" s="15" t="n"/>
      <c r="J194" s="15" t="n"/>
      <c r="K194" s="17" t="n"/>
      <c r="L194" s="17" t="n"/>
      <c r="M194" s="15" t="n"/>
      <c r="N194" s="15" t="n"/>
    </row>
    <row r="195">
      <c r="A195" s="15" t="n">
        <v>191</v>
      </c>
      <c r="B195" s="16" t="n"/>
      <c r="C195" s="15" t="n"/>
      <c r="D195" s="15">
        <f>IF(C195="","",IF(C195&gt;=9,"Promotor",IF(C195&gt;=7,"Pasivo","Detractor")))</f>
        <v/>
      </c>
      <c r="E195" s="17" t="n"/>
      <c r="F195" s="15" t="n"/>
      <c r="G195" s="15" t="n"/>
      <c r="H195" s="15" t="n"/>
      <c r="I195" s="15" t="n"/>
      <c r="J195" s="15" t="n"/>
      <c r="K195" s="17" t="n"/>
      <c r="L195" s="17" t="n"/>
      <c r="M195" s="15" t="n"/>
      <c r="N195" s="15" t="n"/>
    </row>
    <row r="196">
      <c r="A196" s="15" t="n">
        <v>192</v>
      </c>
      <c r="B196" s="16" t="n"/>
      <c r="C196" s="15" t="n"/>
      <c r="D196" s="15">
        <f>IF(C196="","",IF(C196&gt;=9,"Promotor",IF(C196&gt;=7,"Pasivo","Detractor")))</f>
        <v/>
      </c>
      <c r="E196" s="17" t="n"/>
      <c r="F196" s="15" t="n"/>
      <c r="G196" s="15" t="n"/>
      <c r="H196" s="15" t="n"/>
      <c r="I196" s="15" t="n"/>
      <c r="J196" s="15" t="n"/>
      <c r="K196" s="17" t="n"/>
      <c r="L196" s="17" t="n"/>
      <c r="M196" s="15" t="n"/>
      <c r="N196" s="15" t="n"/>
    </row>
    <row r="197">
      <c r="A197" s="15" t="n">
        <v>193</v>
      </c>
      <c r="B197" s="16" t="n"/>
      <c r="C197" s="15" t="n"/>
      <c r="D197" s="15">
        <f>IF(C197="","",IF(C197&gt;=9,"Promotor",IF(C197&gt;=7,"Pasivo","Detractor")))</f>
        <v/>
      </c>
      <c r="E197" s="17" t="n"/>
      <c r="F197" s="15" t="n"/>
      <c r="G197" s="15" t="n"/>
      <c r="H197" s="15" t="n"/>
      <c r="I197" s="15" t="n"/>
      <c r="J197" s="15" t="n"/>
      <c r="K197" s="17" t="n"/>
      <c r="L197" s="17" t="n"/>
      <c r="M197" s="15" t="n"/>
      <c r="N197" s="15" t="n"/>
    </row>
    <row r="198">
      <c r="A198" s="15" t="n">
        <v>194</v>
      </c>
      <c r="B198" s="16" t="n"/>
      <c r="C198" s="15" t="n"/>
      <c r="D198" s="15">
        <f>IF(C198="","",IF(C198&gt;=9,"Promotor",IF(C198&gt;=7,"Pasivo","Detractor")))</f>
        <v/>
      </c>
      <c r="E198" s="17" t="n"/>
      <c r="F198" s="15" t="n"/>
      <c r="G198" s="15" t="n"/>
      <c r="H198" s="15" t="n"/>
      <c r="I198" s="15" t="n"/>
      <c r="J198" s="15" t="n"/>
      <c r="K198" s="17" t="n"/>
      <c r="L198" s="17" t="n"/>
      <c r="M198" s="15" t="n"/>
      <c r="N198" s="15" t="n"/>
    </row>
    <row r="199">
      <c r="A199" s="15" t="n">
        <v>195</v>
      </c>
      <c r="B199" s="16" t="n"/>
      <c r="C199" s="15" t="n"/>
      <c r="D199" s="15">
        <f>IF(C199="","",IF(C199&gt;=9,"Promotor",IF(C199&gt;=7,"Pasivo","Detractor")))</f>
        <v/>
      </c>
      <c r="E199" s="17" t="n"/>
      <c r="F199" s="15" t="n"/>
      <c r="G199" s="15" t="n"/>
      <c r="H199" s="15" t="n"/>
      <c r="I199" s="15" t="n"/>
      <c r="J199" s="15" t="n"/>
      <c r="K199" s="17" t="n"/>
      <c r="L199" s="17" t="n"/>
      <c r="M199" s="15" t="n"/>
      <c r="N199" s="15" t="n"/>
    </row>
    <row r="200">
      <c r="A200" s="15" t="n">
        <v>196</v>
      </c>
      <c r="B200" s="16" t="n"/>
      <c r="C200" s="15" t="n"/>
      <c r="D200" s="15">
        <f>IF(C200="","",IF(C200&gt;=9,"Promotor",IF(C200&gt;=7,"Pasivo","Detractor")))</f>
        <v/>
      </c>
      <c r="E200" s="17" t="n"/>
      <c r="F200" s="15" t="n"/>
      <c r="G200" s="15" t="n"/>
      <c r="H200" s="15" t="n"/>
      <c r="I200" s="15" t="n"/>
      <c r="J200" s="15" t="n"/>
      <c r="K200" s="17" t="n"/>
      <c r="L200" s="17" t="n"/>
      <c r="M200" s="15" t="n"/>
      <c r="N200" s="15" t="n"/>
    </row>
    <row r="201">
      <c r="A201" s="15" t="n">
        <v>197</v>
      </c>
      <c r="B201" s="16" t="n"/>
      <c r="C201" s="15" t="n"/>
      <c r="D201" s="15">
        <f>IF(C201="","",IF(C201&gt;=9,"Promotor",IF(C201&gt;=7,"Pasivo","Detractor")))</f>
        <v/>
      </c>
      <c r="E201" s="17" t="n"/>
      <c r="F201" s="15" t="n"/>
      <c r="G201" s="15" t="n"/>
      <c r="H201" s="15" t="n"/>
      <c r="I201" s="15" t="n"/>
      <c r="J201" s="15" t="n"/>
      <c r="K201" s="17" t="n"/>
      <c r="L201" s="17" t="n"/>
      <c r="M201" s="15" t="n"/>
      <c r="N201" s="15" t="n"/>
    </row>
    <row r="202">
      <c r="A202" s="15" t="n">
        <v>198</v>
      </c>
      <c r="B202" s="16" t="n"/>
      <c r="C202" s="15" t="n"/>
      <c r="D202" s="15">
        <f>IF(C202="","",IF(C202&gt;=9,"Promotor",IF(C202&gt;=7,"Pasivo","Detractor")))</f>
        <v/>
      </c>
      <c r="E202" s="17" t="n"/>
      <c r="F202" s="15" t="n"/>
      <c r="G202" s="15" t="n"/>
      <c r="H202" s="15" t="n"/>
      <c r="I202" s="15" t="n"/>
      <c r="J202" s="15" t="n"/>
      <c r="K202" s="17" t="n"/>
      <c r="L202" s="17" t="n"/>
      <c r="M202" s="15" t="n"/>
      <c r="N202" s="15" t="n"/>
    </row>
    <row r="203">
      <c r="A203" s="15" t="n">
        <v>199</v>
      </c>
      <c r="B203" s="16" t="n"/>
      <c r="C203" s="15" t="n"/>
      <c r="D203" s="15">
        <f>IF(C203="","",IF(C203&gt;=9,"Promotor",IF(C203&gt;=7,"Pasivo","Detractor")))</f>
        <v/>
      </c>
      <c r="E203" s="17" t="n"/>
      <c r="F203" s="15" t="n"/>
      <c r="G203" s="15" t="n"/>
      <c r="H203" s="15" t="n"/>
      <c r="I203" s="15" t="n"/>
      <c r="J203" s="15" t="n"/>
      <c r="K203" s="17" t="n"/>
      <c r="L203" s="17" t="n"/>
      <c r="M203" s="15" t="n"/>
      <c r="N203" s="15" t="n"/>
    </row>
    <row r="204">
      <c r="A204" s="15" t="n">
        <v>200</v>
      </c>
      <c r="B204" s="16" t="n"/>
      <c r="C204" s="15" t="n"/>
      <c r="D204" s="15">
        <f>IF(C204="","",IF(C204&gt;=9,"Promotor",IF(C204&gt;=7,"Pasivo","Detractor")))</f>
        <v/>
      </c>
      <c r="E204" s="17" t="n"/>
      <c r="F204" s="15" t="n"/>
      <c r="G204" s="15" t="n"/>
      <c r="H204" s="15" t="n"/>
      <c r="I204" s="15" t="n"/>
      <c r="J204" s="15" t="n"/>
      <c r="K204" s="17" t="n"/>
      <c r="L204" s="17" t="n"/>
      <c r="M204" s="15" t="n"/>
      <c r="N204" s="15" t="n"/>
    </row>
  </sheetData>
  <mergeCells count="2">
    <mergeCell ref="A2:N2"/>
    <mergeCell ref="A1:N1"/>
  </mergeCells>
  <conditionalFormatting sqref="A5:N204">
    <cfRule type="expression" priority="1" dxfId="0">
      <formula>$D5="Promotor"</formula>
    </cfRule>
    <cfRule type="expression" priority="2" dxfId="1">
      <formula>$D5="Pasivo"</formula>
    </cfRule>
    <cfRule type="expression" priority="3" dxfId="2">
      <formula>$D5="Detractor"</formula>
    </cfRule>
  </conditionalFormatting>
  <dataValidations count="9">
    <dataValidation sqref="C5:C204" showDropDown="0" showInputMessage="0" showErrorMessage="1" allowBlank="1" errorTitle="Puntuación fuera de rango" error="Introduce un número entero de 0 a 10." type="whole" operator="between">
      <formula1>0</formula1>
      <formula2>10</formula2>
    </dataValidation>
    <dataValidation sqref="E5:E204" showDropDown="0" showInputMessage="0" showErrorMessage="1" allowBlank="1" type="list">
      <formula1>"Receta,Consejo,Parafarmacia,Servicio,Otro"</formula1>
    </dataValidation>
    <dataValidation sqref="F5:F204" showDropDown="0" showInputMessage="0" showErrorMessage="1" allowBlank="1" errorTitle="Valoración fuera de rango" error="Introduce un número entero de 1 a 5." type="whole" operator="between">
      <formula1>1</formula1>
      <formula2>5</formula2>
    </dataValidation>
    <dataValidation sqref="G5:G204" showDropDown="0" showInputMessage="0" showErrorMessage="1" allowBlank="1" errorTitle="Valoración fuera de rango" error="Introduce un número entero de 1 a 5." type="whole" operator="between">
      <formula1>1</formula1>
      <formula2>5</formula2>
    </dataValidation>
    <dataValidation sqref="H5:H204" showDropDown="0" showInputMessage="0" showErrorMessage="1" allowBlank="1" errorTitle="Valoración fuera de rango" error="Introduce un número entero de 1 a 5." type="whole" operator="between">
      <formula1>1</formula1>
      <formula2>5</formula2>
    </dataValidation>
    <dataValidation sqref="I5:I204" showDropDown="0" showInputMessage="0" showErrorMessage="1" allowBlank="1" errorTitle="Valoración fuera de rango" error="Introduce un número entero de 1 a 5." type="whole" operator="between">
      <formula1>1</formula1>
      <formula2>5</formula2>
    </dataValidation>
    <dataValidation sqref="J5:J204" showDropDown="0" showInputMessage="0" showErrorMessage="1" allowBlank="1" errorTitle="Valoración fuera de rango" error="Introduce un número entero de 1 a 5." type="whole" operator="between">
      <formula1>1</formula1>
      <formula2>5</formula2>
    </dataValidation>
    <dataValidation sqref="M5:M204" showDropDown="0" showInputMessage="0" showErrorMessage="1" allowBlank="1" type="list">
      <formula1>"Sí,No"</formula1>
    </dataValidation>
    <dataValidation sqref="N5:N204" showDropDown="0" showInputMessage="0" showErrorMessage="1" allowBlank="1" type="list">
      <formula1>"Sí,No"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0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 ht="24" customHeight="1">
      <c r="A1" s="1" t="inlineStr">
        <is>
          <t>Resultados</t>
        </is>
      </c>
    </row>
    <row r="2">
      <c r="A2" s="2" t="inlineStr">
        <is>
          <t>Se calcula solo a partir de la hoja «Respuestas». No toques las fórmulas.</t>
        </is>
      </c>
    </row>
    <row r="3" ht="8" customHeight="1"/>
    <row r="4" ht="22" customHeight="1">
      <c r="A4" s="18" t="inlineStr">
        <is>
          <t>Panel general</t>
        </is>
      </c>
    </row>
    <row r="5" ht="20" customHeight="1">
      <c r="A5" s="17" t="inlineStr">
        <is>
          <t>Nº de respuestas</t>
        </is>
      </c>
      <c r="B5" s="19">
        <f>COUNT('Respuestas'!C5:C204)</f>
        <v/>
      </c>
    </row>
    <row r="6" ht="20" customHeight="1">
      <c r="A6" s="17" t="inlineStr">
        <is>
          <t>% promotores</t>
        </is>
      </c>
      <c r="B6" s="20">
        <f>IFERROR(COUNTIF('Respuestas'!D5:D204,"Promotor")/COUNT('Respuestas'!C5:C204),"")</f>
        <v/>
      </c>
    </row>
    <row r="7" ht="20" customHeight="1">
      <c r="A7" s="17" t="inlineStr">
        <is>
          <t>% pasivos</t>
        </is>
      </c>
      <c r="B7" s="20">
        <f>IFERROR(COUNTIF('Respuestas'!D5:D204,"Pasivo")/COUNT('Respuestas'!C5:C204),"")</f>
        <v/>
      </c>
    </row>
    <row r="8" ht="20" customHeight="1">
      <c r="A8" s="17" t="inlineStr">
        <is>
          <t>% detractores</t>
        </is>
      </c>
      <c r="B8" s="20">
        <f>IFERROR(COUNTIF('Respuestas'!D5:D204,"Detractor")/COUNT('Respuestas'!C5:C204),"")</f>
        <v/>
      </c>
    </row>
    <row r="9" ht="20" customHeight="1">
      <c r="A9" s="17" t="inlineStr">
        <is>
          <t>NPS (puntos)</t>
        </is>
      </c>
      <c r="B9" s="21">
        <f>IFERROR(ROUND((COUNTIF('Respuestas'!D5:D204,"Promotor")-COUNTIF('Respuestas'!D5:D204,"Detractor"))/COUNT('Respuestas'!C5:C204)*100,0),"")</f>
        <v/>
      </c>
    </row>
    <row r="11" ht="22" customHeight="1">
      <c r="A11" s="18" t="inlineStr">
        <is>
          <t>Valoraciones medias (1-5) y ranking de mejor a peor</t>
        </is>
      </c>
    </row>
    <row r="12" ht="20" customHeight="1">
      <c r="A12" s="14" t="inlineStr">
        <is>
          <t>Aspecto</t>
        </is>
      </c>
      <c r="B12" s="14" t="inlineStr">
        <is>
          <t>Media</t>
        </is>
      </c>
      <c r="C12" s="14" t="inlineStr">
        <is>
          <t>Ranking</t>
        </is>
      </c>
    </row>
    <row r="13" ht="20" customHeight="1">
      <c r="A13" s="17" t="inlineStr">
        <is>
          <t>Tiempo de espera</t>
        </is>
      </c>
      <c r="B13" s="22">
        <f>IFERROR(AVERAGE('Respuestas'!F5:F204),"")</f>
        <v/>
      </c>
      <c r="C13" s="15">
        <f>IF(B13="","",RANK(B13,$B$13:$B$17,0))</f>
        <v/>
      </c>
    </row>
    <row r="14" ht="20" customHeight="1">
      <c r="A14" s="17" t="inlineStr">
        <is>
          <t>Trato del equipo</t>
        </is>
      </c>
      <c r="B14" s="22">
        <f>IFERROR(AVERAGE('Respuestas'!G5:G204),"")</f>
        <v/>
      </c>
      <c r="C14" s="15">
        <f>IF(B14="","",RANK(B14,$B$13:$B$17,0))</f>
        <v/>
      </c>
    </row>
    <row r="15" ht="20" customHeight="1">
      <c r="A15" s="17" t="inlineStr">
        <is>
          <t>Consejo recibido</t>
        </is>
      </c>
      <c r="B15" s="22">
        <f>IFERROR(AVERAGE('Respuestas'!H5:H204),"")</f>
        <v/>
      </c>
      <c r="C15" s="15">
        <f>IF(B15="","",RANK(B15,$B$13:$B$17,0))</f>
        <v/>
      </c>
    </row>
    <row r="16" ht="20" customHeight="1">
      <c r="A16" s="17" t="inlineStr">
        <is>
          <t>Surtido</t>
        </is>
      </c>
      <c r="B16" s="22">
        <f>IFERROR(AVERAGE('Respuestas'!I5:I204),"")</f>
        <v/>
      </c>
      <c r="C16" s="15">
        <f>IF(B16="","",RANK(B16,$B$13:$B$17,0))</f>
        <v/>
      </c>
    </row>
    <row r="17" ht="20" customHeight="1">
      <c r="A17" s="17" t="inlineStr">
        <is>
          <t>Precio</t>
        </is>
      </c>
      <c r="B17" s="22">
        <f>IFERROR(AVERAGE('Respuestas'!J5:J204),"")</f>
        <v/>
      </c>
      <c r="C17" s="15">
        <f>IF(B17="","",RANK(B17,$B$13:$B$17,0))</f>
        <v/>
      </c>
    </row>
    <row r="19" ht="22" customHeight="1">
      <c r="A19" s="18" t="inlineStr">
        <is>
          <t>Respuestas por motivo de visita</t>
        </is>
      </c>
    </row>
    <row r="20" ht="20" customHeight="1">
      <c r="A20" s="17" t="inlineStr">
        <is>
          <t>Receta</t>
        </is>
      </c>
      <c r="B20" s="19">
        <f>COUNTIF('Respuestas'!E5:E204,"Receta")</f>
        <v/>
      </c>
    </row>
    <row r="21" ht="20" customHeight="1">
      <c r="A21" s="17" t="inlineStr">
        <is>
          <t>Consejo</t>
        </is>
      </c>
      <c r="B21" s="19">
        <f>COUNTIF('Respuestas'!E5:E204,"Consejo")</f>
        <v/>
      </c>
    </row>
    <row r="22" ht="20" customHeight="1">
      <c r="A22" s="17" t="inlineStr">
        <is>
          <t>Parafarmacia</t>
        </is>
      </c>
      <c r="B22" s="19">
        <f>COUNTIF('Respuestas'!E5:E204,"Parafarmacia")</f>
        <v/>
      </c>
    </row>
    <row r="23" ht="20" customHeight="1">
      <c r="A23" s="17" t="inlineStr">
        <is>
          <t>Servicio</t>
        </is>
      </c>
      <c r="B23" s="19">
        <f>COUNTIF('Respuestas'!E5:E204,"Servicio")</f>
        <v/>
      </c>
    </row>
    <row r="24" ht="20" customHeight="1">
      <c r="A24" s="17" t="inlineStr">
        <is>
          <t>Otro</t>
        </is>
      </c>
      <c r="B24" s="19">
        <f>COUNTIF('Respuestas'!E5:E204,"Otro")</f>
        <v/>
      </c>
    </row>
    <row r="26" ht="22" customHeight="1">
      <c r="A26" s="18" t="inlineStr">
        <is>
          <t>Llamadas pendientes</t>
        </is>
      </c>
    </row>
    <row r="27" ht="20" customHeight="1">
      <c r="A27" s="17" t="inlineStr">
        <is>
          <t>Personas que piden que se les llame</t>
        </is>
      </c>
      <c r="B27" s="19">
        <f>COUNTIF('Respuestas'!M5:M204,"Sí")</f>
        <v/>
      </c>
    </row>
    <row r="28" ht="20" customHeight="1">
      <c r="A28" s="17" t="inlineStr">
        <is>
          <t>Llamadas ya hechas</t>
        </is>
      </c>
      <c r="B28" s="19">
        <f>COUNTIF('Respuestas'!N5:N204,"Sí")</f>
        <v/>
      </c>
    </row>
    <row r="30">
      <c r="A30" s="5" t="inlineStr">
        <is>
          <t>Con menos de 30 respuestas, no saques conclusiones.</t>
        </is>
      </c>
    </row>
  </sheetData>
  <mergeCells count="7">
    <mergeCell ref="A2:F2"/>
    <mergeCell ref="A11:F11"/>
    <mergeCell ref="A19:F19"/>
    <mergeCell ref="A1:F1"/>
    <mergeCell ref="A4:F4"/>
    <mergeCell ref="A26:F26"/>
    <mergeCell ref="A30:F30"/>
  </mergeCells>
  <conditionalFormatting sqref="B9">
    <cfRule type="cellIs" priority="1" operator="lessThan" dxfId="3">
      <formula>0</formula>
    </cfRule>
    <cfRule type="cellIs" priority="2" operator="between" dxfId="4">
      <formula>0</formula>
      <formula>29.999</formula>
    </cfRule>
    <cfRule type="cellIs" priority="3" operator="between" dxfId="5">
      <formula>30</formula>
      <formula>70</formula>
    </cfRule>
    <cfRule type="cellIs" priority="4" operator="greaterThan" dxfId="6">
      <formula>70</formula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2" customWidth="1" min="1" max="1"/>
    <col width="20" customWidth="1" min="2" max="2"/>
    <col width="34" customWidth="1" min="3" max="3"/>
    <col width="18" customWidth="1" min="4" max="4"/>
    <col width="14" customWidth="1" min="5" max="5"/>
    <col width="10" customWidth="1" min="6" max="6"/>
  </cols>
  <sheetData>
    <row r="1" ht="24" customHeight="1">
      <c r="A1" s="1" t="inlineStr">
        <is>
          <t>Plan de acción</t>
        </is>
      </c>
    </row>
    <row r="2">
      <c r="A2" s="2" t="inlineStr">
        <is>
          <t>Cinco hallazgos como máximo por tanda. Sin acción y responsable, el hallazgo se queda en la hoja de Resultados.</t>
        </is>
      </c>
    </row>
    <row r="3" ht="8" customHeight="1"/>
    <row r="4" ht="30" customHeight="1">
      <c r="A4" s="14" t="inlineStr">
        <is>
          <t>Hallazgo</t>
        </is>
      </c>
      <c r="B4" s="14" t="inlineStr">
        <is>
          <t>Palanca afectada</t>
        </is>
      </c>
      <c r="C4" s="14" t="inlineStr">
        <is>
          <t>Acción</t>
        </is>
      </c>
      <c r="D4" s="14" t="inlineStr">
        <is>
          <t>Responsable</t>
        </is>
      </c>
      <c r="E4" s="14" t="inlineStr">
        <is>
          <t>Fecha</t>
        </is>
      </c>
      <c r="F4" s="14" t="inlineStr">
        <is>
          <t>Hecho</t>
        </is>
      </c>
    </row>
    <row r="5" ht="30" customHeight="1">
      <c r="A5" s="17" t="n"/>
      <c r="B5" s="17" t="n"/>
      <c r="C5" s="17" t="n"/>
      <c r="D5" s="17" t="n"/>
      <c r="E5" s="16" t="n"/>
      <c r="F5" s="15" t="n"/>
    </row>
    <row r="6" ht="30" customHeight="1">
      <c r="A6" s="17" t="n"/>
      <c r="B6" s="17" t="n"/>
      <c r="C6" s="17" t="n"/>
      <c r="D6" s="17" t="n"/>
      <c r="E6" s="16" t="n"/>
      <c r="F6" s="15" t="n"/>
    </row>
    <row r="7" ht="30" customHeight="1">
      <c r="A7" s="17" t="n"/>
      <c r="B7" s="17" t="n"/>
      <c r="C7" s="17" t="n"/>
      <c r="D7" s="17" t="n"/>
      <c r="E7" s="16" t="n"/>
      <c r="F7" s="15" t="n"/>
    </row>
    <row r="8" ht="30" customHeight="1">
      <c r="A8" s="17" t="n"/>
      <c r="B8" s="17" t="n"/>
      <c r="C8" s="17" t="n"/>
      <c r="D8" s="17" t="n"/>
      <c r="E8" s="16" t="n"/>
      <c r="F8" s="15" t="n"/>
    </row>
    <row r="9" ht="30" customHeight="1">
      <c r="A9" s="17" t="n"/>
      <c r="B9" s="17" t="n"/>
      <c r="C9" s="17" t="n"/>
      <c r="D9" s="17" t="n"/>
      <c r="E9" s="16" t="n"/>
      <c r="F9" s="15" t="n"/>
    </row>
  </sheetData>
  <mergeCells count="2">
    <mergeCell ref="A2:F2"/>
    <mergeCell ref="A1:F1"/>
  </mergeCells>
  <dataValidations count="2">
    <dataValidation sqref="B5 B6 B7 B8 B9" showDropDown="0" showInputMessage="0" showErrorMessage="1" allowBlank="1" type="list">
      <formula1>"Visibilidad,Conversión,Captación,Diversificación,Sistematización"</formula1>
    </dataValidation>
    <dataValidation sqref="F5 F6 F7 F8 F9" showDropDown="0" showInputMessage="0" showErrorMessage="1" allowBlank="1" type="list">
      <formula1>"Sí,No"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2026-09-01T22:37:44Z</dcterms:created>
  <dcterms:modified xmlns:dcterms="http://purl.org/dc/terms/" xmlns:xsi="http://www.w3.org/2001/XMLSchema-instance" xsi:type="dcterms:W3CDTF">2026-09-01T22:37:44Z</dcterms:modified>
</cp:coreProperties>
</file>