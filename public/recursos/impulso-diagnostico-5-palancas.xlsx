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0. Instrucciones" sheetId="1" state="visible" r:id="rId1"/>
    <sheet xmlns:r="http://schemas.openxmlformats.org/officeDocument/2006/relationships" name="1. Diagnóstico general" sheetId="2" state="visible" r:id="rId2"/>
    <sheet xmlns:r="http://schemas.openxmlformats.org/officeDocument/2006/relationships" name="2. Diagnóstico por palanca" sheetId="3" state="visible" r:id="rId3"/>
    <sheet xmlns:r="http://schemas.openxmlformats.org/officeDocument/2006/relationships" name="3. Matriz de prioridad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B5E20"/>
      <sz val="18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1B5E20"/>
      <sz val="11"/>
    </font>
    <font>
      <name val="Arial"/>
      <charset val="1"/>
      <family val="0"/>
      <b val="1"/>
      <color rgb="FF1B5E20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b val="1"/>
      <color rgb="FF1B5E20"/>
      <sz val="14"/>
    </font>
    <font>
      <name val="Arial"/>
      <charset val="1"/>
      <family val="0"/>
      <b val="1"/>
      <color rgb="FFFF7043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21212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333333"/>
      <sz val="10"/>
    </font>
  </fonts>
  <fills count="14">
    <fill>
      <patternFill/>
    </fill>
    <fill>
      <patternFill patternType="gray125"/>
    </fill>
    <fill>
      <patternFill patternType="solid">
        <fgColor rgb="FFE8F5E9"/>
        <bgColor rgb="FFF1F8E9"/>
      </patternFill>
    </fill>
    <fill>
      <patternFill patternType="solid">
        <fgColor rgb="FF1B5E20"/>
        <bgColor rgb="FF333333"/>
      </patternFill>
    </fill>
    <fill>
      <patternFill patternType="solid">
        <fgColor rgb="FFFFF9C4"/>
        <bgColor rgb="FFFFF8E1"/>
      </patternFill>
    </fill>
    <fill>
      <patternFill patternType="solid">
        <fgColor rgb="FFC8E6C9"/>
        <bgColor rgb="FFCCCCCC"/>
      </patternFill>
    </fill>
    <fill>
      <patternFill patternType="solid">
        <fgColor rgb="FFF1F8E9"/>
        <bgColor rgb="FFF5F5F5"/>
      </patternFill>
    </fill>
    <fill>
      <patternFill patternType="solid">
        <fgColor rgb="FFFFF8E1"/>
        <bgColor rgb="FFFFF3E0"/>
      </patternFill>
    </fill>
    <fill>
      <patternFill patternType="solid">
        <fgColor rgb="FFFFF3E0"/>
        <bgColor rgb="FFFFF8E1"/>
      </patternFill>
    </fill>
    <fill>
      <patternFill patternType="solid">
        <fgColor rgb="FFF3E5F5"/>
        <bgColor rgb="FFF5F5F5"/>
      </patternFill>
    </fill>
    <fill>
      <patternFill patternType="solid">
        <fgColor rgb="FFE1F5FE"/>
        <bgColor rgb="FFE8F5E9"/>
      </patternFill>
    </fill>
    <fill>
      <patternFill patternType="solid">
        <fgColor rgb="FFFFCDD2"/>
        <bgColor rgb="FFFFE0B2"/>
      </patternFill>
    </fill>
    <fill>
      <patternFill patternType="solid">
        <fgColor rgb="FFFFE0B2"/>
        <bgColor rgb="FFFFCDD2"/>
      </patternFill>
    </fill>
    <fill>
      <patternFill patternType="solid">
        <fgColor rgb="FFF5F5F5"/>
        <bgColor rgb="FFF1F8E9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6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top" wrapText="1"/>
    </xf>
    <xf numFmtId="0" fontId="16" fillId="12" borderId="2" applyAlignment="1" pivotButton="0" quotePrefix="0" xfId="0">
      <alignment horizontal="left" vertical="top" wrapText="1"/>
    </xf>
    <xf numFmtId="0" fontId="16" fillId="5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left" vertical="top" wrapText="1"/>
    </xf>
    <xf numFmtId="0" fontId="17" fillId="4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/>
    </xf>
    <xf numFmtId="0" fontId="10" fillId="0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13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top" wrapText="1"/>
    </xf>
    <xf numFmtId="0" fontId="8" fillId="0" borderId="2" applyAlignment="1" pivotButton="0" quotePrefix="0" xfId="0">
      <alignment horizontal="left" vertical="top" wrapText="1"/>
    </xf>
    <xf numFmtId="0" fontId="0" fillId="0" borderId="6" pivotButton="0" quotePrefix="0" xfId="0"/>
    <xf numFmtId="0" fontId="6" fillId="6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0" fillId="0" borderId="8" pivotButton="0" quotePrefix="0" xfId="0"/>
    <xf numFmtId="0" fontId="6" fillId="7" borderId="2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left" vertical="center" wrapText="1"/>
    </xf>
    <xf numFmtId="0" fontId="4" fillId="7" borderId="3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/>
    </xf>
    <xf numFmtId="0" fontId="11" fillId="8" borderId="2" applyAlignment="1" pivotButton="0" quotePrefix="0" xfId="0">
      <alignment horizontal="left" vertical="center" wrapText="1"/>
    </xf>
    <xf numFmtId="0" fontId="4" fillId="8" borderId="3" applyAlignment="1" pivotButton="0" quotePrefix="0" xfId="0">
      <alignment horizontal="center" vertical="center"/>
    </xf>
    <xf numFmtId="0" fontId="6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4" fillId="9" borderId="3" applyAlignment="1" pivotButton="0" quotePrefix="0" xfId="0">
      <alignment horizontal="center" vertical="center"/>
    </xf>
    <xf numFmtId="0" fontId="6" fillId="10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center" vertical="center"/>
    </xf>
    <xf numFmtId="0" fontId="10" fillId="0" borderId="2" applyAlignment="1" pivotButton="0" quotePrefix="0" xfId="0">
      <alignment horizontal="left" vertical="center" wrapText="1"/>
    </xf>
    <xf numFmtId="0" fontId="14" fillId="0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 wrapText="1"/>
    </xf>
    <xf numFmtId="0" fontId="16" fillId="11" borderId="2" applyAlignment="1" pivotButton="0" quotePrefix="0" xfId="0">
      <alignment horizontal="left" vertical="top" wrapText="1"/>
    </xf>
    <xf numFmtId="0" fontId="16" fillId="12" borderId="2" applyAlignment="1" pivotButton="0" quotePrefix="0" xfId="0">
      <alignment horizontal="left" vertical="top" wrapText="1"/>
    </xf>
    <xf numFmtId="0" fontId="16" fillId="5" borderId="2" applyAlignment="1" pivotButton="0" quotePrefix="0" xfId="0">
      <alignment horizontal="left" vertical="top" wrapText="1"/>
    </xf>
    <xf numFmtId="0" fontId="16" fillId="13" borderId="2" applyAlignment="1" pivotButton="0" quotePrefix="0" xfId="0">
      <alignment horizontal="left" vertical="top" wrapText="1"/>
    </xf>
    <xf numFmtId="0" fontId="17" fillId="4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>
          <bgColor rgb="FFC8E6C9"/>
        </patternFill>
      </fill>
    </dxf>
    <dxf>
      <fill>
        <patternFill>
          <bgColor rgb="FFFFE0B2"/>
        </patternFill>
      </fill>
    </dxf>
    <dxf>
      <fill>
        <patternFill>
          <bgColor rgb="FFFFCDD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C4"/>
      <rgbColor rgb="FFE1F5FE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C8E6C9"/>
      <rgbColor rgb="FFFFF8E1"/>
      <rgbColor rgb="FFF1F8E9"/>
      <rgbColor rgb="FFFFCDD2"/>
      <rgbColor rgb="FFF5F5F5"/>
      <rgbColor rgb="FFFFE0B2"/>
      <rgbColor rgb="FF3366FF"/>
      <rgbColor rgb="FF33CCCC"/>
      <rgbColor rgb="FF99CC00"/>
      <rgbColor rgb="FFFFCC00"/>
      <rgbColor rgb="FFFF9900"/>
      <rgbColor rgb="FFFF7043"/>
      <rgbColor rgb="FF555555"/>
      <rgbColor rgb="FF969696"/>
      <rgbColor rgb="FF003366"/>
      <rgbColor rgb="FF339966"/>
      <rgbColor rgb="FF003300"/>
      <rgbColor rgb="FF212121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42" min="1" max="1"/>
    <col width="18" customWidth="1" style="42" min="2" max="6"/>
  </cols>
  <sheetData>
    <row r="1" ht="31.5" customHeight="1" s="43">
      <c r="A1" s="44" t="inlineStr">
        <is>
          <t>DIAGNÓSTICO DE LAS 5 PALANCAS</t>
        </is>
      </c>
    </row>
    <row r="2" ht="15" customHeight="1" s="43">
      <c r="A2" s="45" t="inlineStr">
        <is>
          <t>farmapro Impulso — Newsletter #21</t>
        </is>
      </c>
    </row>
    <row r="5" ht="15" customHeight="1" s="43">
      <c r="A5" s="46" t="inlineStr">
        <is>
          <t>CÓMO USAR ESTE DIAGNÓSTICO</t>
        </is>
      </c>
    </row>
    <row r="7" ht="15" customHeight="1" s="43">
      <c r="A7" s="46" t="inlineStr">
        <is>
          <t>🎨 Código de colores</t>
        </is>
      </c>
    </row>
    <row r="8" ht="15" customHeight="1" s="43">
      <c r="A8" s="47" t="inlineStr">
        <is>
          <t>Celdas amarillas con texto azul</t>
        </is>
      </c>
      <c r="B8" s="48" t="inlineStr">
        <is>
          <t>Editables (selecciona tus respuestas)</t>
        </is>
      </c>
    </row>
    <row r="9" ht="15" customHeight="1" s="43">
      <c r="A9" s="47" t="inlineStr">
        <is>
          <t>Celdas blancas con texto negro</t>
        </is>
      </c>
      <c r="B9" s="48" t="inlineStr">
        <is>
          <t>Resultados calculados automáticamente</t>
        </is>
      </c>
    </row>
    <row r="10" ht="15" customHeight="1" s="43">
      <c r="A10" s="47" t="inlineStr">
        <is>
          <t>Celdas verde claro</t>
        </is>
      </c>
      <c r="B10" s="48" t="inlineStr">
        <is>
          <t>Diagnóstico final y recomendaciones</t>
        </is>
      </c>
    </row>
    <row r="11" ht="15" customHeight="1" s="43">
      <c r="A11" s="47" t="inlineStr">
        <is>
          <t>Celdas rojo/ámbar/verde</t>
        </is>
      </c>
      <c r="B11" s="48" t="inlineStr">
        <is>
          <t>Semáforo de cada palanca según tu nivel</t>
        </is>
      </c>
    </row>
    <row r="13" ht="15" customHeight="1" s="43">
      <c r="A13" s="46" t="inlineStr">
        <is>
          <t>📋 Las 4 hojas del libro</t>
        </is>
      </c>
    </row>
    <row r="14" ht="15" customHeight="1" s="43">
      <c r="A14" s="47" t="inlineStr">
        <is>
          <t>0. Instrucciones</t>
        </is>
      </c>
      <c r="B14" s="48" t="inlineStr">
        <is>
          <t>Esta hoja: guía de uso</t>
        </is>
      </c>
    </row>
    <row r="15" ht="15" customHeight="1" s="43">
      <c r="A15" s="47" t="inlineStr">
        <is>
          <t>1. Diagnóstico general</t>
        </is>
      </c>
      <c r="B15" s="48" t="inlineStr">
        <is>
          <t>Test rápido de 5 preguntas para identificar tu momento (estancada/creciendo/madura)</t>
        </is>
      </c>
    </row>
    <row r="16" ht="15" customHeight="1" s="43">
      <c r="A16" s="47" t="inlineStr">
        <is>
          <t>2. Diagnóstico por palanca</t>
        </is>
      </c>
      <c r="B16" s="48" t="inlineStr">
        <is>
          <t>Test profundo de 15 preguntas (3 por palanca) con puntuación detallada</t>
        </is>
      </c>
    </row>
    <row r="17" ht="15" customHeight="1" s="43">
      <c r="A17" s="47" t="inlineStr">
        <is>
          <t>3. Matriz de prioridades</t>
        </is>
      </c>
      <c r="B17" s="48" t="inlineStr">
        <is>
          <t>Te dice exactamente qué palanca activar este trimestre según tu momento</t>
        </is>
      </c>
    </row>
    <row r="19" ht="15" customHeight="1" s="43">
      <c r="A19" s="46" t="inlineStr">
        <is>
          <t>🔄 Orden recomendado de uso</t>
        </is>
      </c>
    </row>
    <row r="20" ht="15" customHeight="1" s="43">
      <c r="A20" s="47" t="inlineStr">
        <is>
          <t>Paso 1</t>
        </is>
      </c>
      <c r="B20" s="48" t="inlineStr">
        <is>
          <t>Ve a la hoja '1. Diagnóstico general' y responde las 5 preguntas con Sí o No</t>
        </is>
      </c>
    </row>
    <row r="21" ht="15" customHeight="1" s="43">
      <c r="A21" s="47" t="inlineStr">
        <is>
          <t>Paso 2</t>
        </is>
      </c>
      <c r="B21" s="48" t="inlineStr">
        <is>
          <t>Lee tu resultado: ¿eres farmacia estancada, creciendo o madura?</t>
        </is>
      </c>
    </row>
    <row r="22" ht="15" customHeight="1" s="43">
      <c r="A22" s="47" t="inlineStr">
        <is>
          <t>Paso 3</t>
        </is>
      </c>
      <c r="B22" s="48" t="inlineStr">
        <is>
          <t>Ve a '2. Diagnóstico por palanca' y responde las 15 preguntas (3 por palanca)</t>
        </is>
      </c>
    </row>
    <row r="23" ht="15" customHeight="1" s="43">
      <c r="A23" s="47" t="inlineStr">
        <is>
          <t>Paso 4</t>
        </is>
      </c>
      <c r="B23" s="48" t="inlineStr">
        <is>
          <t>Identifica qué palanca tiene tu puntuación más baja: esa es tu prioridad real</t>
        </is>
      </c>
    </row>
    <row r="24" ht="15" customHeight="1" s="43">
      <c r="A24" s="47" t="inlineStr">
        <is>
          <t>Paso 5</t>
        </is>
      </c>
      <c r="B24" s="48" t="inlineStr">
        <is>
          <t>Ve a '3. Matriz de prioridades' y consulta tu plan de acción concreto</t>
        </is>
      </c>
    </row>
    <row r="25" ht="15" customHeight="1" s="43">
      <c r="A25" s="47" t="inlineStr">
        <is>
          <t>Paso 6</t>
        </is>
      </c>
      <c r="B25" s="48" t="inlineStr">
        <is>
          <t>Imprime la matriz y colócala en tu despacho. Revísala cada trimestre.</t>
        </is>
      </c>
    </row>
    <row r="27" ht="15" customHeight="1" s="43">
      <c r="A27" s="46" t="inlineStr">
        <is>
          <t>💡 La regla de oro</t>
        </is>
      </c>
    </row>
    <row r="28" ht="39.75" customHeight="1" s="43">
      <c r="B28" s="49" t="inlineStr">
        <is>
          <t>Una palanca activa por trimestre. No más. Cuatro transformaciones al año son una farmacia distinta en doce meses. Cinco intentadas a la vez son cero resultados.</t>
        </is>
      </c>
    </row>
  </sheetData>
  <mergeCells count="22">
    <mergeCell ref="B16:F16"/>
    <mergeCell ref="B25:F25"/>
    <mergeCell ref="A27:F27"/>
    <mergeCell ref="B22:F22"/>
    <mergeCell ref="B21:F21"/>
    <mergeCell ref="A2:F2"/>
    <mergeCell ref="A5:F5"/>
    <mergeCell ref="B11:F11"/>
    <mergeCell ref="B23:F23"/>
    <mergeCell ref="B14:F14"/>
    <mergeCell ref="B8:F8"/>
    <mergeCell ref="B17:F17"/>
    <mergeCell ref="A13:F13"/>
    <mergeCell ref="A19:F19"/>
    <mergeCell ref="B10:F10"/>
    <mergeCell ref="B28:F28"/>
    <mergeCell ref="B9:F9"/>
    <mergeCell ref="B24:F24"/>
    <mergeCell ref="B20:F20"/>
    <mergeCell ref="B15:F15"/>
    <mergeCell ref="A1:F1"/>
    <mergeCell ref="A7:F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42" min="1" max="1"/>
    <col width="28" customWidth="1" style="42" min="2" max="2"/>
    <col width="56" customWidth="1" style="42" min="3" max="3"/>
    <col width="18" customWidth="1" style="42" min="4" max="4"/>
  </cols>
  <sheetData>
    <row r="1" ht="30" customHeight="1" s="43">
      <c r="A1" s="44" t="inlineStr">
        <is>
          <t>DIAGNÓSTICO GENERAL</t>
        </is>
      </c>
    </row>
    <row r="2" ht="15" customHeight="1" s="43">
      <c r="A2" s="45" t="inlineStr">
        <is>
          <t>Test rápido de 5 preguntas. Responde con honestidad: la utilidad depende de tu sinceridad.</t>
        </is>
      </c>
    </row>
    <row r="4" ht="25.5" customHeight="1" s="43">
      <c r="A4" s="50" t="inlineStr">
        <is>
          <t>Nº</t>
        </is>
      </c>
      <c r="B4" s="50" t="inlineStr">
        <is>
          <t>Pregunta</t>
        </is>
      </c>
      <c r="C4" s="50" t="inlineStr">
        <is>
          <t>Tu respuesta</t>
        </is>
      </c>
      <c r="D4" s="50" t="inlineStr">
        <is>
          <t>Puntos</t>
        </is>
      </c>
    </row>
    <row r="5" ht="36" customHeight="1" s="43">
      <c r="A5" s="51" t="n">
        <v>1</v>
      </c>
      <c r="B5" s="52" t="inlineStr">
        <is>
          <t>¿Sabes cuánto facturó tu farmacia el mismo mes del año pasado, sin abrir el ordenador?</t>
        </is>
      </c>
      <c r="C5" s="53" t="n"/>
      <c r="D5" s="54">
        <f>IF(C5="Sí",2,IF(C5="No",0,""))</f>
        <v/>
      </c>
    </row>
    <row r="6" ht="36" customHeight="1" s="43">
      <c r="A6" s="51" t="n">
        <v>2</v>
      </c>
      <c r="B6" s="52" t="inlineStr">
        <is>
          <t>¿Tienes una campaña planificada con al menos 60 días de antelación?</t>
        </is>
      </c>
      <c r="C6" s="53" t="n"/>
      <c r="D6" s="54">
        <f>IF(C6="Sí",2,IF(C6="No",0,""))</f>
        <v/>
      </c>
    </row>
    <row r="7" ht="36" customHeight="1" s="43">
      <c r="A7" s="51" t="n">
        <v>3</v>
      </c>
      <c r="B7" s="52" t="inlineStr">
        <is>
          <t>¿Tu farmacia funciona dos semanas sin ti exactamente igual que contigo?</t>
        </is>
      </c>
      <c r="C7" s="53" t="n"/>
      <c r="D7" s="54">
        <f>IF(C7="Sí",2,IF(C7="No",0,""))</f>
        <v/>
      </c>
    </row>
    <row r="8" ht="36" customHeight="1" s="43">
      <c r="A8" s="51" t="n">
        <v>4</v>
      </c>
      <c r="B8" s="52" t="inlineStr">
        <is>
          <t>¿Conoces el ticket medio de cada categoría que vendes?</t>
        </is>
      </c>
      <c r="C8" s="53" t="n"/>
      <c r="D8" s="54">
        <f>IF(C8="Sí",2,IF(C8="No",0,""))</f>
        <v/>
      </c>
    </row>
    <row r="9" ht="36" customHeight="1" s="43">
      <c r="A9" s="51" t="n">
        <v>5</v>
      </c>
      <c r="B9" s="52" t="inlineStr">
        <is>
          <t>¿Has captado al menos 30 clientes nuevos en los últimos seis meses?</t>
        </is>
      </c>
      <c r="C9" s="53" t="n"/>
      <c r="D9" s="54">
        <f>IF(C9="Sí",2,IF(C9="No",0,""))</f>
        <v/>
      </c>
    </row>
    <row r="10" ht="15" customHeight="1" s="43">
      <c r="B10" s="55" t="inlineStr">
        <is>
          <t>PUNTUACIÓN TOTAL</t>
        </is>
      </c>
      <c r="D10" s="55">
        <f>SUM(D5:D9)</f>
        <v/>
      </c>
    </row>
    <row r="12" ht="36" customHeight="1" s="43">
      <c r="B12" s="55" t="inlineStr">
        <is>
          <t>TU MOMENTO ACTUAL</t>
        </is>
      </c>
      <c r="D12" s="56">
        <f>IF(D10="","Responde las 5 preguntas",IF(D10&gt;=10,"🟢 MADURA",IF(D10&gt;=8,"🟢 MADURA",IF(D10&gt;=4,"🟡 CRECIENDO","🔴 ESTANCADA"))))</f>
        <v/>
      </c>
    </row>
    <row r="14" ht="15" customHeight="1" s="43">
      <c r="B14" s="46" t="inlineStr">
        <is>
          <t>LECTURA DEL RESULTADO</t>
        </is>
      </c>
    </row>
    <row r="15" ht="60" customHeight="1" s="43">
      <c r="B15" s="57" t="inlineStr">
        <is>
          <t>🔴 ESTANCADA (0-3 puntos)</t>
        </is>
      </c>
      <c r="C15" s="58" t="inlineStr">
        <is>
          <t>Tu farmacia trabaja duro pero factura lo mismo año tras año. No pierdes dinero, pero tampoco creces. Es el momento de activar la primera palanca: la más básica y barata. Empieza por VISIBILIDAD (optimiza Google My Business) o por CONVERSIÓN (transforma una categoría en corner).</t>
        </is>
      </c>
      <c r="D15" s="59" t="n"/>
    </row>
    <row r="16" ht="60" customHeight="1" s="43">
      <c r="B16" s="57" t="inlineStr">
        <is>
          <t>🟡 CRECIENDO (4-7 puntos)</t>
        </is>
      </c>
      <c r="C16" s="58" t="inlineStr">
        <is>
          <t>Tu farmacia está en pleno movimiento. Has empezado a invertir y los resultados llegan, pero a trompicones. Te falta sistema. Tu prioridad es SISTEMATIZACIÓN: pasa de la improvisación al método. Una palanca por trimestre, con métricas.</t>
        </is>
      </c>
      <c r="D16" s="59" t="n"/>
    </row>
    <row r="17" ht="60" customHeight="1" s="43">
      <c r="B17" s="57" t="inlineStr">
        <is>
          <t>🟢 MADURA (8-10 puntos)</t>
        </is>
      </c>
      <c r="C17" s="58" t="inlineStr">
        <is>
          <t>Tu farmacia tiene modelo, equipo formado, datos medidos. Creces de forma sostenida. Tu siguiente nivel ya no está en activar palancas, está en DELEGAR Y AUTOMATIZAR. El siguiente bloque de farmapro Impulso te va a interesar especialmente: trata sobre liderazgo.</t>
        </is>
      </c>
      <c r="D17" s="59" t="n"/>
    </row>
  </sheetData>
  <mergeCells count="6">
    <mergeCell ref="A1:D1"/>
    <mergeCell ref="B14:D14"/>
    <mergeCell ref="C16:D16"/>
    <mergeCell ref="C15:D15"/>
    <mergeCell ref="A2:D2"/>
    <mergeCell ref="C17:D17"/>
  </mergeCells>
  <dataValidations count="1">
    <dataValidation sqref="C5:C9" showDropDown="0" showInputMessage="0" showErrorMessage="0" allowBlank="1" type="list" errorStyle="stop" operator="between">
      <formula1>"Sí,No"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6" customWidth="1" style="42" min="1" max="1"/>
    <col width="52" customWidth="1" style="42" min="2" max="2"/>
    <col width="14" customWidth="1" style="42" min="3" max="3"/>
    <col width="12" customWidth="1" style="42" min="4" max="4"/>
    <col width="18" customWidth="1" style="42" min="5" max="5"/>
  </cols>
  <sheetData>
    <row r="1" ht="30" customHeight="1" s="43">
      <c r="A1" s="44" t="inlineStr">
        <is>
          <t>DIAGNÓSTICO POR PALANCA</t>
        </is>
      </c>
    </row>
    <row r="2" ht="15" customHeight="1" s="43">
      <c r="A2" s="45" t="inlineStr">
        <is>
          <t>15 preguntas (3 por palanca). Responde Sí, A veces o No. Las palancas con peor puntuación son tu prioridad.</t>
        </is>
      </c>
    </row>
    <row r="4" ht="25.5" customHeight="1" s="43">
      <c r="A4" s="50" t="inlineStr">
        <is>
          <t>Palanca</t>
        </is>
      </c>
      <c r="B4" s="50" t="inlineStr">
        <is>
          <t>Pregunta</t>
        </is>
      </c>
      <c r="C4" s="50" t="inlineStr">
        <is>
          <t>Tu respuesta</t>
        </is>
      </c>
      <c r="D4" s="50" t="inlineStr">
        <is>
          <t>Puntos</t>
        </is>
      </c>
      <c r="E4" s="50" t="inlineStr">
        <is>
          <t>Puntuación palanca</t>
        </is>
      </c>
    </row>
    <row r="5" ht="36" customHeight="1" s="43">
      <c r="A5" s="60" t="inlineStr">
        <is>
          <t>Visibilidad</t>
        </is>
      </c>
      <c r="B5" s="61" t="inlineStr">
        <is>
          <t>¿Tu ficha de Google My Business tiene fotos actuales, horario correcto y al menos 50 reseñas?</t>
        </is>
      </c>
      <c r="C5" s="53" t="n"/>
      <c r="D5" s="62">
        <f>IF(C5="Sí",2,IF(C5="A veces",1,IF(C5="No",0,"")))</f>
        <v/>
      </c>
      <c r="E5" s="63">
        <f>IF(COUNTBLANK(D5:D7)=3,"Pendiente",SUM(D5:D7))</f>
        <v/>
      </c>
    </row>
    <row r="6" ht="36" customHeight="1" s="43">
      <c r="A6" s="60" t="n"/>
      <c r="B6" s="61" t="inlineStr">
        <is>
          <t>¿Publicas contenido en redes sociales al menos una vez por semana?</t>
        </is>
      </c>
      <c r="C6" s="53" t="n"/>
      <c r="D6" s="62">
        <f>IF(C6="Sí",2,IF(C6="A veces",1,IF(C6="No",0,"")))</f>
        <v/>
      </c>
      <c r="E6" s="64" t="n"/>
    </row>
    <row r="7" ht="36" customHeight="1" s="43">
      <c r="A7" s="60" t="n"/>
      <c r="B7" s="61" t="inlineStr">
        <is>
          <t>¿Llegan a tu farmacia clientes nuevos que te han encontrado por Google o redes sociales?</t>
        </is>
      </c>
      <c r="C7" s="53" t="n"/>
      <c r="D7" s="62">
        <f>IF(C7="Sí",2,IF(C7="A veces",1,IF(C7="No",0,"")))</f>
        <v/>
      </c>
      <c r="E7" s="64" t="n"/>
    </row>
    <row r="8" ht="36" customHeight="1" s="43">
      <c r="A8" s="65" t="inlineStr">
        <is>
          <t>Conversión</t>
        </is>
      </c>
      <c r="B8" s="66" t="inlineStr">
        <is>
          <t>¿Tu ticket medio ha crecido en los últimos 12 meses?</t>
        </is>
      </c>
      <c r="C8" s="53" t="n"/>
      <c r="D8" s="62">
        <f>IF(C8="Sí",2,IF(C8="A veces",1,IF(C8="No",0,"")))</f>
        <v/>
      </c>
      <c r="E8" s="67">
        <f>IF(COUNTBLANK(D8:D10)=3,"Pendiente",SUM(D8:D10))</f>
        <v/>
      </c>
    </row>
    <row r="9" ht="36" customHeight="1" s="43">
      <c r="A9" s="65" t="n"/>
      <c r="B9" s="66" t="inlineStr">
        <is>
          <t>¿Tu equipo tiene un protocolo escrito de recomendación cruzada?</t>
        </is>
      </c>
      <c r="C9" s="53" t="n"/>
      <c r="D9" s="62">
        <f>IF(C9="Sí",2,IF(C9="A veces",1,IF(C9="No",0,"")))</f>
        <v/>
      </c>
      <c r="E9" s="64" t="n"/>
    </row>
    <row r="10" ht="36" customHeight="1" s="43">
      <c r="A10" s="65" t="n"/>
      <c r="B10" s="66" t="inlineStr">
        <is>
          <t>¿Tienes al menos una categoría trabajada como corner experiencial con formación específica?</t>
        </is>
      </c>
      <c r="C10" s="53" t="n"/>
      <c r="D10" s="62">
        <f>IF(C10="Sí",2,IF(C10="A veces",1,IF(C10="No",0,"")))</f>
        <v/>
      </c>
      <c r="E10" s="64" t="n"/>
    </row>
    <row r="11" ht="36" customHeight="1" s="43">
      <c r="A11" s="68" t="inlineStr">
        <is>
          <t>Captación</t>
        </is>
      </c>
      <c r="B11" s="69" t="inlineStr">
        <is>
          <t>¿Sabes cuántos clientes nuevos entraron en tu farmacia el mes pasado?</t>
        </is>
      </c>
      <c r="C11" s="53" t="n"/>
      <c r="D11" s="62">
        <f>IF(C11="Sí",2,IF(C11="A veces",1,IF(C11="No",0,"")))</f>
        <v/>
      </c>
      <c r="E11" s="70">
        <f>IF(COUNTBLANK(D11:D13)=3,"Pendiente",SUM(D11:D13))</f>
        <v/>
      </c>
    </row>
    <row r="12" ht="36" customHeight="1" s="43">
      <c r="A12" s="68" t="n"/>
      <c r="B12" s="69" t="inlineStr">
        <is>
          <t>¿Pides activamente reseñas a clientes satisfechos?</t>
        </is>
      </c>
      <c r="C12" s="53" t="n"/>
      <c r="D12" s="62">
        <f>IF(C12="Sí",2,IF(C12="A veces",1,IF(C12="No",0,"")))</f>
        <v/>
      </c>
      <c r="E12" s="64" t="n"/>
    </row>
    <row r="13" ht="36" customHeight="1" s="43">
      <c r="A13" s="68" t="n"/>
      <c r="B13" s="69" t="inlineStr">
        <is>
          <t>¿Tienes al menos una alianza activa con un profesional sanitario o centro local?</t>
        </is>
      </c>
      <c r="C13" s="53" t="n"/>
      <c r="D13" s="62">
        <f>IF(C13="Sí",2,IF(C13="A veces",1,IF(C13="No",0,"")))</f>
        <v/>
      </c>
      <c r="E13" s="64" t="n"/>
    </row>
    <row r="14" ht="36" customHeight="1" s="43">
      <c r="A14" s="71" t="inlineStr">
        <is>
          <t>Diversificación</t>
        </is>
      </c>
      <c r="B14" s="72" t="inlineStr">
        <is>
          <t>¿Ofreces algún servicio profesional más allá de la dispensación tradicional?</t>
        </is>
      </c>
      <c r="C14" s="53" t="n"/>
      <c r="D14" s="62">
        <f>IF(C14="Sí",2,IF(C14="A veces",1,IF(C14="No",0,"")))</f>
        <v/>
      </c>
      <c r="E14" s="73">
        <f>IF(COUNTBLANK(D14:D16)=3,"Pendiente",SUM(D14:D16))</f>
        <v/>
      </c>
    </row>
    <row r="15" ht="36" customHeight="1" s="43">
      <c r="A15" s="71" t="n"/>
      <c r="B15" s="72" t="inlineStr">
        <is>
          <t>¿Cobras por algún servicio cuando aporta valor real (consulta, asesoramiento, programa)?</t>
        </is>
      </c>
      <c r="C15" s="53" t="n"/>
      <c r="D15" s="62">
        <f>IF(C15="Sí",2,IF(C15="A veces",1,IF(C15="No",0,"")))</f>
        <v/>
      </c>
      <c r="E15" s="64" t="n"/>
    </row>
    <row r="16" ht="36" customHeight="1" s="43">
      <c r="A16" s="71" t="n"/>
      <c r="B16" s="72" t="inlineStr">
        <is>
          <t>¿Tienes agenda con citas previas para servicios específicos?</t>
        </is>
      </c>
      <c r="C16" s="53" t="n"/>
      <c r="D16" s="62">
        <f>IF(C16="Sí",2,IF(C16="A veces",1,IF(C16="No",0,"")))</f>
        <v/>
      </c>
      <c r="E16" s="64" t="n"/>
    </row>
    <row r="17" ht="36" customHeight="1" s="43">
      <c r="A17" s="74" t="inlineStr">
        <is>
          <t>Sistematización</t>
        </is>
      </c>
      <c r="B17" s="75" t="inlineStr">
        <is>
          <t>¿Tienes calendario anual de campañas planificado con 60 días de antelación?</t>
        </is>
      </c>
      <c r="C17" s="53" t="n"/>
      <c r="D17" s="62">
        <f>IF(C17="Sí",2,IF(C17="A veces",1,IF(C17="No",0,"")))</f>
        <v/>
      </c>
      <c r="E17" s="76">
        <f>IF(COUNTBLANK(D17:D19)=3,"Pendiente",SUM(D17:D19))</f>
        <v/>
      </c>
    </row>
    <row r="18" ht="36" customHeight="1" s="43">
      <c r="A18" s="74" t="n"/>
      <c r="B18" s="75" t="inlineStr">
        <is>
          <t>¿Mides KPIs concretos (facturación, ticket, clientes nuevos) por campaña?</t>
        </is>
      </c>
      <c r="C18" s="53" t="n"/>
      <c r="D18" s="62">
        <f>IF(C18="Sí",2,IF(C18="A veces",1,IF(C18="No",0,"")))</f>
        <v/>
      </c>
      <c r="E18" s="64" t="n"/>
    </row>
    <row r="19" ht="36" customHeight="1" s="43">
      <c r="A19" s="74" t="n"/>
      <c r="B19" s="75" t="inlineStr">
        <is>
          <t>¿Tu equipo ejecuta las campañas sin necesidad de tu supervisión directa?</t>
        </is>
      </c>
      <c r="C19" s="53" t="n"/>
      <c r="D19" s="62">
        <f>IF(C19="Sí",2,IF(C19="A veces",1,IF(C19="No",0,"")))</f>
        <v/>
      </c>
      <c r="E19" s="64" t="n"/>
    </row>
    <row r="22" ht="25.5" customHeight="1" s="43">
      <c r="A22" s="46" t="inlineStr">
        <is>
          <t>RESUMEN: TU PALANCA PRIORITARIA</t>
        </is>
      </c>
    </row>
    <row r="23" ht="15" customHeight="1" s="43">
      <c r="A23" s="50" t="inlineStr">
        <is>
          <t>Palanca</t>
        </is>
      </c>
      <c r="B23" s="50" t="inlineStr">
        <is>
          <t>Puntuación</t>
        </is>
      </c>
      <c r="C23" s="50" t="inlineStr">
        <is>
          <t>Nivel</t>
        </is>
      </c>
      <c r="D23" s="50" t="inlineStr">
        <is>
          <t>Prioridad</t>
        </is>
      </c>
    </row>
    <row r="24" ht="15" customHeight="1" s="43">
      <c r="A24" s="77" t="inlineStr">
        <is>
          <t>Visibilidad</t>
        </is>
      </c>
      <c r="B24" s="54">
        <f>IFERROR(VALUE(E5),"")</f>
        <v/>
      </c>
      <c r="C24" s="54">
        <f>IF(B24="","Pendiente",IF(B24&gt;=5,"🟢 Sólida",IF(B24&gt;=3,"🟡 Mejorable","🔴 Crítica")))</f>
        <v/>
      </c>
      <c r="D24" s="78">
        <f>IF(B24="","-",IF(B24=MIN($B$24:$B$28),"⭐ EMPIEZA AQUÍ",""))</f>
        <v/>
      </c>
    </row>
    <row r="25" ht="15" customHeight="1" s="43">
      <c r="A25" s="77" t="inlineStr">
        <is>
          <t>Conversión</t>
        </is>
      </c>
      <c r="B25" s="54">
        <f>IFERROR(VALUE(E8),"")</f>
        <v/>
      </c>
      <c r="C25" s="54">
        <f>IF(B25="","Pendiente",IF(B25&gt;=5,"🟢 Sólida",IF(B25&gt;=3,"🟡 Mejorable","🔴 Crítica")))</f>
        <v/>
      </c>
      <c r="D25" s="78">
        <f>IF(B25="","-",IF(B25=MIN($B$24:$B$28),"⭐ EMPIEZA AQUÍ",""))</f>
        <v/>
      </c>
    </row>
    <row r="26" ht="15" customHeight="1" s="43">
      <c r="A26" s="77" t="inlineStr">
        <is>
          <t>Captación</t>
        </is>
      </c>
      <c r="B26" s="54">
        <f>IFERROR(VALUE(E11),"")</f>
        <v/>
      </c>
      <c r="C26" s="54">
        <f>IF(B26="","Pendiente",IF(B26&gt;=5,"🟢 Sólida",IF(B26&gt;=3,"🟡 Mejorable","🔴 Crítica")))</f>
        <v/>
      </c>
      <c r="D26" s="78">
        <f>IF(B26="","-",IF(B26=MIN($B$24:$B$28),"⭐ EMPIEZA AQUÍ",""))</f>
        <v/>
      </c>
    </row>
    <row r="27" ht="15" customHeight="1" s="43">
      <c r="A27" s="77" t="inlineStr">
        <is>
          <t>Diversificación</t>
        </is>
      </c>
      <c r="B27" s="54">
        <f>IFERROR(VALUE(E14),"")</f>
        <v/>
      </c>
      <c r="C27" s="54">
        <f>IF(B27="","Pendiente",IF(B27&gt;=5,"🟢 Sólida",IF(B27&gt;=3,"🟡 Mejorable","🔴 Crítica")))</f>
        <v/>
      </c>
      <c r="D27" s="78">
        <f>IF(B27="","-",IF(B27=MIN($B$24:$B$28),"⭐ EMPIEZA AQUÍ",""))</f>
        <v/>
      </c>
    </row>
    <row r="28" ht="15" customHeight="1" s="43">
      <c r="A28" s="77" t="inlineStr">
        <is>
          <t>Sistematización</t>
        </is>
      </c>
      <c r="B28" s="54">
        <f>IFERROR(VALUE(E17),"")</f>
        <v/>
      </c>
      <c r="C28" s="54">
        <f>IF(B28="","Pendiente",IF(B28&gt;=5,"🟢 Sólida",IF(B28&gt;=3,"🟡 Mejorable","🔴 Crítica")))</f>
        <v/>
      </c>
      <c r="D28" s="78">
        <f>IF(B28="","-",IF(B28=MIN($B$24:$B$28),"⭐ EMPIEZA AQUÍ",""))</f>
        <v/>
      </c>
    </row>
  </sheetData>
  <mergeCells count="8">
    <mergeCell ref="E17:E19"/>
    <mergeCell ref="A2:E2"/>
    <mergeCell ref="E8:E10"/>
    <mergeCell ref="E11:E13"/>
    <mergeCell ref="A1:E1"/>
    <mergeCell ref="E14:E16"/>
    <mergeCell ref="E5:E7"/>
    <mergeCell ref="A22:E22"/>
  </mergeCells>
  <conditionalFormatting sqref="E5">
    <cfRule type="cellIs" rank="0" priority="2" equalAverage="0" operator="greaterThanOrEqual" aboveAverage="0" dxfId="0" text="" percent="0" bottom="0">
      <formula>5</formula>
    </cfRule>
    <cfRule type="cellIs" rank="0" priority="3" equalAverage="0" operator="between" aboveAverage="0" dxfId="1" text="" percent="0" bottom="0">
      <formula>3</formula>
      <formula>4</formula>
    </cfRule>
    <cfRule type="cellIs" rank="0" priority="4" equalAverage="0" operator="lessThanOrEqual" aboveAverage="0" dxfId="2" text="" percent="0" bottom="0">
      <formula>2</formula>
    </cfRule>
  </conditionalFormatting>
  <conditionalFormatting sqref="E8">
    <cfRule type="cellIs" rank="0" priority="5" equalAverage="0" operator="greaterThanOrEqual" aboveAverage="0" dxfId="0" text="" percent="0" bottom="0">
      <formula>5</formula>
    </cfRule>
    <cfRule type="cellIs" rank="0" priority="6" equalAverage="0" operator="between" aboveAverage="0" dxfId="1" text="" percent="0" bottom="0">
      <formula>3</formula>
      <formula>4</formula>
    </cfRule>
    <cfRule type="cellIs" rank="0" priority="7" equalAverage="0" operator="lessThanOrEqual" aboveAverage="0" dxfId="2" text="" percent="0" bottom="0">
      <formula>2</formula>
    </cfRule>
  </conditionalFormatting>
  <conditionalFormatting sqref="E11">
    <cfRule type="cellIs" rank="0" priority="8" equalAverage="0" operator="greaterThanOrEqual" aboveAverage="0" dxfId="0" text="" percent="0" bottom="0">
      <formula>5</formula>
    </cfRule>
    <cfRule type="cellIs" rank="0" priority="9" equalAverage="0" operator="between" aboveAverage="0" dxfId="1" text="" percent="0" bottom="0">
      <formula>3</formula>
      <formula>4</formula>
    </cfRule>
    <cfRule type="cellIs" rank="0" priority="10" equalAverage="0" operator="lessThanOrEqual" aboveAverage="0" dxfId="2" text="" percent="0" bottom="0">
      <formula>2</formula>
    </cfRule>
  </conditionalFormatting>
  <conditionalFormatting sqref="E14">
    <cfRule type="cellIs" rank="0" priority="11" equalAverage="0" operator="greaterThanOrEqual" aboveAverage="0" dxfId="0" text="" percent="0" bottom="0">
      <formula>5</formula>
    </cfRule>
    <cfRule type="cellIs" rank="0" priority="12" equalAverage="0" operator="between" aboveAverage="0" dxfId="1" text="" percent="0" bottom="0">
      <formula>3</formula>
      <formula>4</formula>
    </cfRule>
    <cfRule type="cellIs" rank="0" priority="13" equalAverage="0" operator="lessThanOrEqual" aboveAverage="0" dxfId="2" text="" percent="0" bottom="0">
      <formula>2</formula>
    </cfRule>
  </conditionalFormatting>
  <conditionalFormatting sqref="E17">
    <cfRule type="cellIs" rank="0" priority="14" equalAverage="0" operator="greaterThanOrEqual" aboveAverage="0" dxfId="0" text="" percent="0" bottom="0">
      <formula>5</formula>
    </cfRule>
    <cfRule type="cellIs" rank="0" priority="15" equalAverage="0" operator="between" aboveAverage="0" dxfId="1" text="" percent="0" bottom="0">
      <formula>3</formula>
      <formula>4</formula>
    </cfRule>
    <cfRule type="cellIs" rank="0" priority="16" equalAverage="0" operator="lessThanOrEqual" aboveAverage="0" dxfId="2" text="" percent="0" bottom="0">
      <formula>2</formula>
    </cfRule>
  </conditionalFormatting>
  <dataValidations count="1">
    <dataValidation sqref="C5:C19" showDropDown="0" showInputMessage="0" showErrorMessage="0" allowBlank="1" type="list" errorStyle="stop" operator="between">
      <formula1>"Sí,A veces,No"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E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42" min="1" max="1"/>
    <col width="38" customWidth="1" style="42" min="2" max="4"/>
    <col width="30" customWidth="1" style="42" min="5" max="5"/>
  </cols>
  <sheetData>
    <row r="1" ht="30" customHeight="1" s="43">
      <c r="A1" s="44" t="inlineStr">
        <is>
          <t>MATRIZ DE PRIORIDADES Y PLAN DE ACCIÓN</t>
        </is>
      </c>
    </row>
    <row r="2" ht="15" customHeight="1" s="43">
      <c r="A2" s="45" t="inlineStr">
        <is>
          <t>Cruza tu momento (estancada/creciendo/madura) con cada palanca y encuentra la acción concreta para este trimestre.</t>
        </is>
      </c>
    </row>
    <row r="4" ht="30" customHeight="1" s="43">
      <c r="A4" s="50" t="inlineStr">
        <is>
          <t>Palanca</t>
        </is>
      </c>
      <c r="B4" s="50" t="inlineStr">
        <is>
          <t>🔴 Si estás ESTANCADA</t>
        </is>
      </c>
      <c r="C4" s="50" t="inlineStr">
        <is>
          <t>🟡 Si estás CRECIENDO</t>
        </is>
      </c>
      <c r="D4" s="50" t="inlineStr">
        <is>
          <t>🟢 Si eres MADURA</t>
        </is>
      </c>
      <c r="E4" s="50" t="inlineStr">
        <is>
          <t>⚠️ Señal de alerta</t>
        </is>
      </c>
    </row>
    <row r="5" ht="109.5" customHeight="1" s="43">
      <c r="A5" s="79" t="inlineStr">
        <is>
          <t>1. VISIBILIDAD</t>
        </is>
      </c>
      <c r="B5" s="80" t="inlineStr">
        <is>
          <t>Optimiza tu ficha de Google My Business este fin de semana. Perfil completo, fotos actuales, horario correcto, reseñas pedidas activamente. Dedica 2 horas un domingo.</t>
        </is>
      </c>
      <c r="C5" s="81" t="inlineStr">
        <is>
          <t>Suma un canal social que puedas mantener. Uno solo. Bien hecho. 15 minutos al día con contenido educativo, no promocional. Aplica el sistema 15-15-15.</t>
        </is>
      </c>
      <c r="D5" s="82" t="inlineStr">
        <is>
          <t>Trabaja tu posicionamiento como referente local. Blog con artículos sanitarios, presencia en medios locales, colaboraciones con centros de salud, talleres abiertos.</t>
        </is>
      </c>
      <c r="E5" s="83" t="inlineStr">
        <is>
          <t>No llegan clientes nuevos que te hayan encontrado por Google o redes sociales.</t>
        </is>
      </c>
    </row>
    <row r="6" ht="109.5" customHeight="1" s="43">
      <c r="A6" s="79" t="inlineStr">
        <is>
          <t>2. CONVERSIÓN</t>
        </is>
      </c>
      <c r="B6" s="80" t="inlineStr">
        <is>
          <t>Trabaja una sola categoría en profundidad. Convierte un rincón olvidado en corner experiencial. Esa categoría puede pasar del 8% al 25% de tu facturación.</t>
        </is>
      </c>
      <c r="C6" s="81" t="inlineStr">
        <is>
          <t>Sistematiza la recomendación cruzada. Cada dispensación tiene 2-3 oportunidades éticas de complemento. Requiere protocolo escrito, no improvisación.</t>
        </is>
      </c>
      <c r="D6" s="82" t="inlineStr">
        <is>
          <t>Salta a la consulta especializada. Cabina de diagnóstico de piel, asesoría dermocosmética con cita previa, revisión de salud capilar.</t>
        </is>
      </c>
      <c r="E6" s="83" t="inlineStr">
        <is>
          <t>Tu ticket medio es el mismo que hace 3 años.</t>
        </is>
      </c>
    </row>
    <row r="7" ht="109.5" customHeight="1" s="43">
      <c r="A7" s="79" t="inlineStr">
        <is>
          <t>3. CAPTACIÓN</t>
        </is>
      </c>
      <c r="B7" s="80" t="inlineStr">
        <is>
          <t>Empieza por la captación más barata: pide reseñas a clientes contentos. Una farmacia con 200 reseñas y 4,8/5 aparece por encima de competidores con peor reputación.</t>
        </is>
      </c>
      <c r="C7" s="81" t="inlineStr">
        <is>
          <t>Activa captación digital con propósito. Contenido educativo en redes con CTA físico: 'ven y te asesoramos en persona'. No e-commerce: visibilidad digital con visita física.</t>
        </is>
      </c>
      <c r="D7" s="82" t="inlineStr">
        <is>
          <t>Integra alianzas estratégicas con sanitarios y centros locales. Ginecólogas, dermatólogos, fisios, residencias, colegios. Una alianza bien construida = 40-60 clientes/año.</t>
        </is>
      </c>
      <c r="E7" s="83" t="inlineStr">
        <is>
          <t>No sabes cuántos clientes nuevos entraron el mes pasado.</t>
        </is>
      </c>
    </row>
    <row r="8" ht="109.5" customHeight="1" s="43">
      <c r="A8" s="79" t="inlineStr">
        <is>
          <t>4. DIVERSIFICACIÓN</t>
        </is>
      </c>
      <c r="B8" s="80" t="inlineStr">
        <is>
          <t>Elige UN solo servicio para empezar. El más fácil: cabina de medición (tensión, glucosa, peso) con seguimiento personalizado. Inversión mínima, retorno en 3 meses.</t>
        </is>
      </c>
      <c r="C8" s="81" t="inlineStr">
        <is>
          <t>Suma 2-3 servicios complementarios y cobra cuando aporten valor real. Consulta nutricional, dermoanálisis, asesoría deportiva. Un cliente con servicio fideliza 7x más.</t>
        </is>
      </c>
      <c r="D8" s="82" t="inlineStr">
        <is>
          <t>Profesionaliza tu cartera como si fuera una clínica. Agenda online, paquetes, programas de seguimiento, fidelización por usos. Algunas maduras tienen el 18-22% de facturación gracias a los servicios.</t>
        </is>
      </c>
      <c r="E8" s="83" t="inlineStr">
        <is>
          <t>Tus únicos servicios son los que se han ofrecido siempre (tensión gratis, consejo de pasillo).</t>
        </is>
      </c>
    </row>
    <row r="9" ht="109.5" customHeight="1" s="43">
      <c r="A9" s="79" t="inlineStr">
        <is>
          <t>5. SISTEMATIZACIÓN</t>
        </is>
      </c>
      <c r="B9" s="80" t="inlineStr">
        <is>
          <t>Planifica solo las 4 campañas grandes del año (alergias, solares, vuelta al cole, Navidad) con 60 días de antelación. 8h/año de inversión, retorno del 25-35%.</t>
        </is>
      </c>
      <c r="C9" s="81" t="inlineStr">
        <is>
          <t>Amplía a calendario completo de 12 campañas y empieza a medir KPIs por campaña. Sin medición no hay sistematización real.</t>
        </is>
      </c>
      <c r="D9" s="82" t="inlineStr">
        <is>
          <t>Automatiza y delega. Tu equipo debería ejecutar el 90% del calendario sin tu intervención directa. Tu trabajo es marcar el rumbo, no remar.</t>
        </is>
      </c>
      <c r="E9" s="83" t="inlineStr">
        <is>
          <t>Cada campaña te encuentra corriendo en los últimos 15 días.</t>
        </is>
      </c>
    </row>
    <row r="12" ht="25.5" customHeight="1" s="43">
      <c r="A12" s="46" t="inlineStr">
        <is>
          <t>CHECKLIST TRIMESTRAL: ACTIVAR UNA PALANCA EN 90 DÍAS</t>
        </is>
      </c>
    </row>
    <row r="13" ht="15" customHeight="1" s="43">
      <c r="A13" s="50" t="inlineStr">
        <is>
          <t>Semana</t>
        </is>
      </c>
      <c r="B13" s="50" t="inlineStr">
        <is>
          <t>Hito</t>
        </is>
      </c>
      <c r="C13" s="50" t="inlineStr">
        <is>
          <t>Tareas concretas</t>
        </is>
      </c>
      <c r="D13" s="50" t="inlineStr">
        <is>
          <t>Hecho (X)</t>
        </is>
      </c>
      <c r="E13" s="50" t="inlineStr">
        <is>
          <t>Notas</t>
        </is>
      </c>
    </row>
    <row r="14" ht="60" customHeight="1" s="43">
      <c r="A14" s="51" t="inlineStr">
        <is>
          <t>Semana 1</t>
        </is>
      </c>
      <c r="B14" s="77" t="inlineStr">
        <is>
          <t>Decisión y diagnóstico</t>
        </is>
      </c>
      <c r="C14" s="52" t="inlineStr">
        <is>
          <t>Elige UNA palanca según tu momento. Lee de nuevo la acción de tu casilla en esta matriz. Calendariza esta sesión de trabajo cada lunes durante 90 días.</t>
        </is>
      </c>
      <c r="D14" s="53" t="n"/>
      <c r="E14" s="84" t="n"/>
    </row>
    <row r="15" ht="60" customHeight="1" s="43">
      <c r="A15" s="51" t="inlineStr">
        <is>
          <t>Semana 2-3</t>
        </is>
      </c>
      <c r="B15" s="77" t="inlineStr">
        <is>
          <t>Plan concreto</t>
        </is>
      </c>
      <c r="C15" s="52" t="inlineStr">
        <is>
          <t>Aterriza la acción en 3-5 tareas medibles. Asigna responsable por tarea (tú o alguien del equipo). Define fecha de cierre de cada tarea.</t>
        </is>
      </c>
      <c r="D15" s="53" t="n"/>
      <c r="E15" s="84" t="n"/>
    </row>
    <row r="16" ht="60" customHeight="1" s="43">
      <c r="A16" s="51" t="inlineStr">
        <is>
          <t>Semana 4-6</t>
        </is>
      </c>
      <c r="B16" s="77" t="inlineStr">
        <is>
          <t>Lanzamiento</t>
        </is>
      </c>
      <c r="C16" s="52" t="inlineStr">
        <is>
          <t>Empieza la ejecución. La primera mitad siempre es lenta. No te desanimes. Si las tareas son las correctas, los resultados llegarán.</t>
        </is>
      </c>
      <c r="D16" s="53" t="n"/>
      <c r="E16" s="84" t="n"/>
    </row>
    <row r="17" ht="60" customHeight="1" s="43">
      <c r="A17" s="51" t="inlineStr">
        <is>
          <t>Semana 7-9</t>
        </is>
      </c>
      <c r="B17" s="77" t="inlineStr">
        <is>
          <t>Ajuste</t>
        </is>
      </c>
      <c r="C17" s="52" t="inlineStr">
        <is>
          <t>Revisión a mitad de trimestre. ¿Qué funciona? ¿Qué no? Ajusta lo que sea necesario. No cambies la palanca; ajusta la ejecución.</t>
        </is>
      </c>
      <c r="D17" s="53" t="n"/>
      <c r="E17" s="84" t="n"/>
    </row>
    <row r="18" ht="60" customHeight="1" s="43">
      <c r="A18" s="51" t="inlineStr">
        <is>
          <t>Semana 10-12</t>
        </is>
      </c>
      <c r="B18" s="77" t="inlineStr">
        <is>
          <t>Medición y cierre</t>
        </is>
      </c>
      <c r="C18" s="52" t="inlineStr">
        <is>
          <t>Mide resultados frente al punto de partida. Documenta aprendizajes. Decide la palanca del siguiente trimestre. Empieza otra vez.</t>
        </is>
      </c>
      <c r="D18" s="53" t="n"/>
      <c r="E18" s="84" t="n"/>
    </row>
    <row r="21" ht="49.5" customHeight="1" s="43">
      <c r="A21" s="85" t="inlineStr">
        <is>
          <t>💡 RECUERDA</t>
        </is>
      </c>
      <c r="B21" s="86" t="inlineStr">
        <is>
          <t>Una palanca activa por trimestre. No más. Cuatro transformaciones al año son una farmacia distinta en doce meses. Cinco palancas intentadas a la vez son cinco frustraciones sin resultado.</t>
        </is>
      </c>
    </row>
  </sheetData>
  <mergeCells count="4">
    <mergeCell ref="A2:E2"/>
    <mergeCell ref="A1:E1"/>
    <mergeCell ref="A12:E12"/>
    <mergeCell ref="B21:E2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2026-05-20T15:25:06Z</dcterms:created>
  <dcterms:modified xmlns:dcterms="http://purl.org/dc/terms/" xmlns:xsi="http://www.w3.org/2001/XMLSchema-instance" xsi:type="dcterms:W3CDTF">2026-06-05T11:21:24Z</dcterms:modified>
  <cp:revision>0</cp:revision>
</cp:coreProperties>
</file>