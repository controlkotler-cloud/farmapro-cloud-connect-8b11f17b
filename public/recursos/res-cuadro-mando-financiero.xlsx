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uadro de man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EUR&quot;"/>
    <numFmt numFmtId="165" formatCode="0.0%"/>
    <numFmt numFmtId="166" formatCode="#,##0.00 &quot;EUR&quot;"/>
  </numFmts>
  <fonts count="7">
    <font>
      <name val="Calibri"/>
      <family val="2"/>
      <color theme="1"/>
      <sz val="11"/>
      <scheme val="minor"/>
    </font>
    <font>
      <name val="Calibri"/>
      <b val="1"/>
      <color rgb="000B0F0B"/>
      <sz val="15"/>
    </font>
    <font>
      <name val="Calibri"/>
      <b val="1"/>
      <color rgb="000B0F0B"/>
      <sz val="11"/>
    </font>
    <font>
      <name val="Calibri"/>
      <color rgb="000B0F0B"/>
      <sz val="10"/>
    </font>
    <font>
      <name val="Calibri"/>
      <b val="1"/>
      <color rgb="00FFFFFF"/>
      <sz val="11"/>
    </font>
    <font>
      <name val="Calibri"/>
      <color rgb="000B0F0B"/>
      <sz val="11"/>
    </font>
    <font>
      <name val="Calibri"/>
      <b val="1"/>
      <color rgb="005F8F17"/>
      <sz val="11"/>
    </font>
  </fonts>
  <fills count="6">
    <fill>
      <patternFill/>
    </fill>
    <fill>
      <patternFill patternType="gray125"/>
    </fill>
    <fill>
      <patternFill patternType="solid">
        <fgColor rgb="00A3D338"/>
      </patternFill>
    </fill>
    <fill>
      <patternFill patternType="solid">
        <fgColor rgb="005F8F17"/>
      </patternFill>
    </fill>
    <fill>
      <patternFill patternType="solid">
        <fgColor rgb="00FBFBF7"/>
      </patternFill>
    </fill>
    <fill>
      <patternFill patternType="solid">
        <fgColor rgb="00EAF5D0"/>
      </patternFill>
    </fill>
  </fills>
  <borders count="2">
    <border>
      <left/>
      <right/>
      <top/>
      <bottom/>
      <diagonal/>
    </border>
    <border>
      <left style="thin">
        <color rgb="00C9D6B0"/>
      </left>
      <right style="thin">
        <color rgb="00C9D6B0"/>
      </right>
      <top style="thin">
        <color rgb="00C9D6B0"/>
      </top>
      <bottom style="thin">
        <color rgb="00C9D6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165" fontId="5" fillId="5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36195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0</row>
      <rowOff>0</rowOff>
    </from>
    <ext cx="36195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40" customHeight="1">
      <c r="A1" s="1" t="inlineStr">
        <is>
          <t>Cuadro de mando financiero mensual  -  farmapro</t>
        </is>
      </c>
      <c r="B1" s="2" t="n"/>
    </row>
    <row r="3" ht="22" customHeight="1">
      <c r="A3" s="3" t="inlineStr">
        <is>
          <t>Como usar esta plantilla</t>
        </is>
      </c>
    </row>
    <row r="4" ht="22" customHeight="1">
      <c r="A4" s="4" t="inlineStr"/>
    </row>
    <row r="5" ht="30" customHeight="1">
      <c r="A5" s="4" t="inlineStr">
        <is>
          <t>1. Introduce cada mes los datos en las filas de color blanco: ventas totales, numero de tickets, margen bruto, ventas de parafarmacia y gasto de personal.</t>
        </is>
      </c>
    </row>
    <row r="6" ht="30" customHeight="1">
      <c r="A6" s="4" t="inlineStr">
        <is>
          <t>2. Las filas con formula (ticket medio, % parafarmacia, % gasto de personal y variacion de ventas) se calculan solas. No las sobrescribas.</t>
        </is>
      </c>
    </row>
    <row r="7" ht="30" customHeight="1">
      <c r="A7" s="4" t="inlineStr">
        <is>
          <t>3. Tienes los meses de enero, febrero y marzo rellenos como ejemplo. Sustituye esas cifras por las reales de tu farmacia.</t>
        </is>
      </c>
    </row>
    <row r="8" ht="30" customHeight="1">
      <c r="A8" s="4" t="inlineStr">
        <is>
          <t>4. Las celdas vacias de abril a diciembre ya llevan las formulas listas: en cuanto introduzcas las ventas y los tickets, los ratios apareceran automaticamente.</t>
        </is>
      </c>
    </row>
    <row r="9" ht="30" customHeight="1">
      <c r="A9" s="4" t="inlineStr">
        <is>
          <t>5. Revisa la columna de cada mes frente al anterior para detectar desviaciones y tomar decisiones a tiempo.</t>
        </is>
      </c>
    </row>
    <row r="10" ht="30" customHeight="1">
      <c r="A10" s="4" t="inlineStr"/>
    </row>
    <row r="11" ht="30" customHeight="1">
      <c r="A11" s="4" t="inlineStr">
        <is>
          <t>Nota: las cifras de ejemplo son orientativas y no representan datos reales de ninguna farmacia.</t>
        </is>
      </c>
    </row>
  </sheetData>
  <mergeCells count="10">
    <mergeCell ref="A4:B4"/>
    <mergeCell ref="A7:B7"/>
    <mergeCell ref="A11:B11"/>
    <mergeCell ref="A10:B10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40" customHeight="1">
      <c r="A1" s="1" t="inlineStr">
        <is>
          <t>Cuadro de mando financiero mensual  -  farmapro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30" customHeight="1">
      <c r="A2" s="5" t="inlineStr">
        <is>
          <t>KPI / Indicador</t>
        </is>
      </c>
      <c r="B2" s="5" t="inlineStr">
        <is>
          <t>Ene</t>
        </is>
      </c>
      <c r="C2" s="5" t="inlineStr">
        <is>
          <t>Feb</t>
        </is>
      </c>
      <c r="D2" s="5" t="inlineStr">
        <is>
          <t>Mar</t>
        </is>
      </c>
      <c r="E2" s="5" t="inlineStr">
        <is>
          <t>Abr</t>
        </is>
      </c>
      <c r="F2" s="5" t="inlineStr">
        <is>
          <t>May</t>
        </is>
      </c>
      <c r="G2" s="5" t="inlineStr">
        <is>
          <t>Jun</t>
        </is>
      </c>
      <c r="H2" s="5" t="inlineStr">
        <is>
          <t>Jul</t>
        </is>
      </c>
      <c r="I2" s="5" t="inlineStr">
        <is>
          <t>Ago</t>
        </is>
      </c>
      <c r="J2" s="5" t="inlineStr">
        <is>
          <t>Sep</t>
        </is>
      </c>
      <c r="K2" s="5" t="inlineStr">
        <is>
          <t>Oct</t>
        </is>
      </c>
      <c r="L2" s="5" t="inlineStr">
        <is>
          <t>Nov</t>
        </is>
      </c>
      <c r="M2" s="5" t="inlineStr">
        <is>
          <t>Dic</t>
        </is>
      </c>
    </row>
    <row r="3" ht="26" customHeight="1">
      <c r="A3" s="6" t="inlineStr">
        <is>
          <t>Ventas totales</t>
        </is>
      </c>
      <c r="B3" s="7" t="n">
        <v>48500</v>
      </c>
      <c r="C3" s="7" t="n">
        <v>46200</v>
      </c>
      <c r="D3" s="7" t="n">
        <v>51800</v>
      </c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26" customHeight="1">
      <c r="A4" s="8" t="inlineStr">
        <is>
          <t>Variacion de ventas vs. mes anterior</t>
        </is>
      </c>
      <c r="B4" s="9" t="n"/>
      <c r="C4" s="9">
        <f>IF(B3=0,0,C3/B3-1)</f>
        <v/>
      </c>
      <c r="D4" s="9">
        <f>IF(C3=0,0,D3/C3-1)</f>
        <v/>
      </c>
      <c r="E4" s="9">
        <f>IF(D3=0,0,E3/D3-1)</f>
        <v/>
      </c>
      <c r="F4" s="9">
        <f>IF(E3=0,0,F3/E3-1)</f>
        <v/>
      </c>
      <c r="G4" s="9">
        <f>IF(F3=0,0,G3/F3-1)</f>
        <v/>
      </c>
      <c r="H4" s="9">
        <f>IF(G3=0,0,H3/G3-1)</f>
        <v/>
      </c>
      <c r="I4" s="9">
        <f>IF(H3=0,0,I3/H3-1)</f>
        <v/>
      </c>
      <c r="J4" s="9">
        <f>IF(I3=0,0,J3/I3-1)</f>
        <v/>
      </c>
      <c r="K4" s="9">
        <f>IF(J3=0,0,K3/J3-1)</f>
        <v/>
      </c>
      <c r="L4" s="9">
        <f>IF(K3=0,0,L3/K3-1)</f>
        <v/>
      </c>
      <c r="M4" s="9">
        <f>IF(L3=0,0,M3/L3-1)</f>
        <v/>
      </c>
    </row>
    <row r="5" ht="26" customHeight="1">
      <c r="A5" s="6" t="inlineStr">
        <is>
          <t>N. de tickets</t>
        </is>
      </c>
      <c r="B5" s="10" t="n">
        <v>3120</v>
      </c>
      <c r="C5" s="10" t="n">
        <v>2980</v>
      </c>
      <c r="D5" s="10" t="n">
        <v>3340</v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</row>
    <row r="6" ht="26" customHeight="1">
      <c r="A6" s="8" t="inlineStr">
        <is>
          <t>Ticket medio</t>
        </is>
      </c>
      <c r="B6" s="11">
        <f>IF(B5=0,0,B3/B5)</f>
        <v/>
      </c>
      <c r="C6" s="11">
        <f>IF(C5=0,0,C3/C5)</f>
        <v/>
      </c>
      <c r="D6" s="11">
        <f>IF(D5=0,0,D3/D5)</f>
        <v/>
      </c>
      <c r="E6" s="11">
        <f>IF(E5=0,0,E3/E5)</f>
        <v/>
      </c>
      <c r="F6" s="11">
        <f>IF(F5=0,0,F3/F5)</f>
        <v/>
      </c>
      <c r="G6" s="11">
        <f>IF(G5=0,0,G3/G5)</f>
        <v/>
      </c>
      <c r="H6" s="11">
        <f>IF(H5=0,0,H3/H5)</f>
        <v/>
      </c>
      <c r="I6" s="11">
        <f>IF(I5=0,0,I3/I5)</f>
        <v/>
      </c>
      <c r="J6" s="11">
        <f>IF(J5=0,0,J3/J5)</f>
        <v/>
      </c>
      <c r="K6" s="11">
        <f>IF(K5=0,0,K3/K5)</f>
        <v/>
      </c>
      <c r="L6" s="11">
        <f>IF(L5=0,0,L3/L5)</f>
        <v/>
      </c>
      <c r="M6" s="11">
        <f>IF(M5=0,0,M3/M5)</f>
        <v/>
      </c>
    </row>
    <row r="7" ht="26" customHeight="1">
      <c r="A7" s="6" t="inlineStr">
        <is>
          <t>Margen bruto (EUR)</t>
        </is>
      </c>
      <c r="B7" s="7" t="n">
        <v>13580</v>
      </c>
      <c r="C7" s="7" t="n">
        <v>12790</v>
      </c>
      <c r="D7" s="7" t="n">
        <v>14504</v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26" customHeight="1">
      <c r="A8" s="8" t="inlineStr">
        <is>
          <t>Margen bruto %</t>
        </is>
      </c>
      <c r="B8" s="9">
        <f>IF(B3=0,0,B7/B3)</f>
        <v/>
      </c>
      <c r="C8" s="9">
        <f>IF(C3=0,0,C7/C3)</f>
        <v/>
      </c>
      <c r="D8" s="9">
        <f>IF(D3=0,0,D7/D3)</f>
        <v/>
      </c>
      <c r="E8" s="9">
        <f>IF(E3=0,0,E7/E3)</f>
        <v/>
      </c>
      <c r="F8" s="9">
        <f>IF(F3=0,0,F7/F3)</f>
        <v/>
      </c>
      <c r="G8" s="9">
        <f>IF(G3=0,0,G7/G3)</f>
        <v/>
      </c>
      <c r="H8" s="9">
        <f>IF(H3=0,0,H7/H3)</f>
        <v/>
      </c>
      <c r="I8" s="9">
        <f>IF(I3=0,0,I7/I3)</f>
        <v/>
      </c>
      <c r="J8" s="9">
        <f>IF(J3=0,0,J7/J3)</f>
        <v/>
      </c>
      <c r="K8" s="9">
        <f>IF(K3=0,0,K7/K3)</f>
        <v/>
      </c>
      <c r="L8" s="9">
        <f>IF(L3=0,0,L7/L3)</f>
        <v/>
      </c>
      <c r="M8" s="9">
        <f>IF(M3=0,0,M7/M3)</f>
        <v/>
      </c>
    </row>
    <row r="9" ht="26" customHeight="1">
      <c r="A9" s="6" t="inlineStr">
        <is>
          <t>Ventas de parafarmacia</t>
        </is>
      </c>
      <c r="B9" s="7" t="n">
        <v>11640</v>
      </c>
      <c r="C9" s="7" t="n">
        <v>10164</v>
      </c>
      <c r="D9" s="7" t="n">
        <v>13468</v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26" customHeight="1">
      <c r="A10" s="8" t="inlineStr">
        <is>
          <t>% parafarmacia s/ ventas</t>
        </is>
      </c>
      <c r="B10" s="9">
        <f>IF(B3=0,0,B9/B3)</f>
        <v/>
      </c>
      <c r="C10" s="9">
        <f>IF(C3=0,0,C9/C3)</f>
        <v/>
      </c>
      <c r="D10" s="9">
        <f>IF(D3=0,0,D9/D3)</f>
        <v/>
      </c>
      <c r="E10" s="9">
        <f>IF(E3=0,0,E9/E3)</f>
        <v/>
      </c>
      <c r="F10" s="9">
        <f>IF(F3=0,0,F9/F3)</f>
        <v/>
      </c>
      <c r="G10" s="9">
        <f>IF(G3=0,0,G9/G3)</f>
        <v/>
      </c>
      <c r="H10" s="9">
        <f>IF(H3=0,0,H9/H3)</f>
        <v/>
      </c>
      <c r="I10" s="9">
        <f>IF(I3=0,0,I9/I3)</f>
        <v/>
      </c>
      <c r="J10" s="9">
        <f>IF(J3=0,0,J9/J3)</f>
        <v/>
      </c>
      <c r="K10" s="9">
        <f>IF(K3=0,0,K9/K3)</f>
        <v/>
      </c>
      <c r="L10" s="9">
        <f>IF(L3=0,0,L9/L3)</f>
        <v/>
      </c>
      <c r="M10" s="9">
        <f>IF(M3=0,0,M9/M3)</f>
        <v/>
      </c>
    </row>
    <row r="11" ht="26" customHeight="1">
      <c r="A11" s="6" t="inlineStr">
        <is>
          <t>Gasto de personal</t>
        </is>
      </c>
      <c r="B11" s="7" t="n">
        <v>9700</v>
      </c>
      <c r="C11" s="7" t="n">
        <v>9700</v>
      </c>
      <c r="D11" s="7" t="n">
        <v>9700</v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26" customHeight="1">
      <c r="A12" s="8" t="inlineStr">
        <is>
          <t>% gasto de personal s/ ventas</t>
        </is>
      </c>
      <c r="B12" s="9">
        <f>IF(B3=0,0,B11/B3)</f>
        <v/>
      </c>
      <c r="C12" s="9">
        <f>IF(C3=0,0,C11/C3)</f>
        <v/>
      </c>
      <c r="D12" s="9">
        <f>IF(D3=0,0,D11/D3)</f>
        <v/>
      </c>
      <c r="E12" s="9">
        <f>IF(E3=0,0,E11/E3)</f>
        <v/>
      </c>
      <c r="F12" s="9">
        <f>IF(F3=0,0,F11/F3)</f>
        <v/>
      </c>
      <c r="G12" s="9">
        <f>IF(G3=0,0,G11/G3)</f>
        <v/>
      </c>
      <c r="H12" s="9">
        <f>IF(H3=0,0,H11/H3)</f>
        <v/>
      </c>
      <c r="I12" s="9">
        <f>IF(I3=0,0,I11/I3)</f>
        <v/>
      </c>
      <c r="J12" s="9">
        <f>IF(J3=0,0,J11/J3)</f>
        <v/>
      </c>
      <c r="K12" s="9">
        <f>IF(K3=0,0,K11/K3)</f>
        <v/>
      </c>
      <c r="L12" s="9">
        <f>IF(L3=0,0,L11/L3)</f>
        <v/>
      </c>
      <c r="M12" s="9">
        <f>IF(M3=0,0,M11/M3)</f>
        <v/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2026-06-18T22:00:46Z</dcterms:created>
  <dcterms:modified xmlns:dcterms="http://purl.org/dc/terms/" xmlns:xsi="http://www.w3.org/2001/XMLSchema-instance" xsi:type="dcterms:W3CDTF">2026-06-18T22:00:46Z</dcterms:modified>
</cp:coreProperties>
</file>