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bilidad servic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6">
    <font>
      <name val="Calibri"/>
      <family val="2"/>
      <color theme="1"/>
      <sz val="11"/>
      <scheme val="minor"/>
    </font>
    <font>
      <name val="Calibri"/>
      <b val="1"/>
      <color rgb="000B0F0B"/>
      <sz val="16"/>
    </font>
    <font>
      <name val="Calibri"/>
      <b val="1"/>
      <color rgb="00FFFFFF"/>
      <sz val="11"/>
    </font>
    <font>
      <name val="Calibri"/>
      <b val="1"/>
      <color rgb="000B0F0B"/>
      <sz val="11"/>
    </font>
    <font>
      <name val="Calibri"/>
      <color rgb="000B0F0B"/>
      <sz val="11"/>
    </font>
    <font>
      <name val="Calibri"/>
      <b val="1"/>
      <color rgb="005F8F17"/>
      <sz val="13"/>
    </font>
  </fonts>
  <fills count="7">
    <fill>
      <patternFill/>
    </fill>
    <fill>
      <patternFill patternType="gray125"/>
    </fill>
    <fill>
      <patternFill patternType="solid">
        <fgColor rgb="00A3D338"/>
      </patternFill>
    </fill>
    <fill>
      <patternFill patternType="solid">
        <fgColor rgb="005F8F17"/>
      </patternFill>
    </fill>
    <fill>
      <patternFill patternType="solid">
        <fgColor rgb="00FBFBF7"/>
      </patternFill>
    </fill>
    <fill>
      <patternFill patternType="solid">
        <fgColor rgb="00FFFFFF"/>
      </patternFill>
    </fill>
    <fill>
      <patternFill patternType="solid">
        <fgColor rgb="00EAF5D0"/>
      </patternFill>
    </fill>
  </fills>
  <borders count="3">
    <border>
      <left/>
      <right/>
      <top/>
      <bottom/>
      <diagonal/>
    </border>
    <border>
      <left style="thin">
        <color rgb="00C9D6B0"/>
      </left>
      <right style="thin">
        <color rgb="00C9D6B0"/>
      </right>
      <top style="thin">
        <color rgb="00C9D6B0"/>
      </top>
      <bottom style="thin">
        <color rgb="00C9D6B0"/>
      </bottom>
    </border>
    <border>
      <left style="thin">
        <color rgb="00C9D6B0"/>
      </left>
      <right style="thin">
        <color rgb="00C9D6B0"/>
      </right>
      <top style="medium">
        <color rgb="005F8F17"/>
      </top>
      <bottom style="medium">
        <color rgb="005F8F1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right" vertical="center"/>
    </xf>
    <xf numFmtId="164" fontId="3" fillId="6" borderId="2" applyAlignment="1" pivotButton="0" quotePrefix="0" xfId="0">
      <alignment horizontal="right" vertical="center"/>
    </xf>
    <xf numFmtId="3" fontId="3" fillId="6" borderId="2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0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8" customWidth="1" min="7" max="7"/>
    <col width="20" customWidth="1" min="8" max="8"/>
  </cols>
  <sheetData>
    <row r="1" ht="46" customHeight="1">
      <c r="A1" s="1" t="inlineStr">
        <is>
          <t>Calculadora de rentabilidad de servicios  —  farmapro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Servicio</t>
        </is>
      </c>
      <c r="B2" s="3" t="inlineStr">
        <is>
          <t>Precio (€)</t>
        </is>
      </c>
      <c r="C2" s="3" t="inlineStr">
        <is>
          <t>Tiempo (min)</t>
        </is>
      </c>
      <c r="D2" s="3" t="inlineStr">
        <is>
          <t>Coste directo (€)</t>
        </is>
      </c>
      <c r="E2" s="3" t="inlineStr">
        <is>
          <t>Margen €</t>
        </is>
      </c>
      <c r="F2" s="3" t="inlineStr">
        <is>
          <t>Margen / hora (€)</t>
        </is>
      </c>
      <c r="G2" s="3" t="inlineStr">
        <is>
          <t>Nº / mes estimado</t>
        </is>
      </c>
      <c r="H2" s="3" t="inlineStr">
        <is>
          <t>Aporte mensual (€)</t>
        </is>
      </c>
    </row>
    <row r="3">
      <c r="A3" s="4" t="inlineStr">
        <is>
          <t>SPD (sistema personalizado de dosificacion)</t>
        </is>
      </c>
      <c r="B3" s="5" t="n">
        <v>18</v>
      </c>
      <c r="C3" s="6" t="n">
        <v>30</v>
      </c>
      <c r="D3" s="5" t="n">
        <v>4</v>
      </c>
      <c r="E3" s="5">
        <f>B3-D3</f>
        <v/>
      </c>
      <c r="F3" s="5">
        <f>IF(C3=0,0,E3/(C3/60))</f>
        <v/>
      </c>
      <c r="G3" s="6" t="n">
        <v>20</v>
      </c>
      <c r="H3" s="5">
        <f>E3*G3</f>
        <v/>
      </c>
    </row>
    <row r="4">
      <c r="A4" s="7" t="inlineStr">
        <is>
          <t>Control de parametros (tension / glucosa)</t>
        </is>
      </c>
      <c r="B4" s="8" t="n">
        <v>6</v>
      </c>
      <c r="C4" s="9" t="n">
        <v>15</v>
      </c>
      <c r="D4" s="8" t="n">
        <v>1.5</v>
      </c>
      <c r="E4" s="8">
        <f>B4-D4</f>
        <v/>
      </c>
      <c r="F4" s="8">
        <f>IF(C4=0,0,E4/(C4/60))</f>
        <v/>
      </c>
      <c r="G4" s="9" t="n">
        <v>60</v>
      </c>
      <c r="H4" s="8">
        <f>E4*G4</f>
        <v/>
      </c>
    </row>
    <row r="5">
      <c r="A5" s="4" t="inlineStr">
        <is>
          <t>Asesoramiento dermo personalizado</t>
        </is>
      </c>
      <c r="B5" s="5" t="n">
        <v>25</v>
      </c>
      <c r="C5" s="6" t="n">
        <v>25</v>
      </c>
      <c r="D5" s="5" t="n">
        <v>6</v>
      </c>
      <c r="E5" s="5">
        <f>B5-D5</f>
        <v/>
      </c>
      <c r="F5" s="5">
        <f>IF(C5=0,0,E5/(C5/60))</f>
        <v/>
      </c>
      <c r="G5" s="6" t="n">
        <v>18</v>
      </c>
      <c r="H5" s="5">
        <f>E5*G5</f>
        <v/>
      </c>
    </row>
    <row r="6">
      <c r="A6" s="7" t="inlineStr">
        <is>
          <t>Acompanamiento para dejar de fumar</t>
        </is>
      </c>
      <c r="B6" s="8" t="n">
        <v>40</v>
      </c>
      <c r="C6" s="9" t="n">
        <v>45</v>
      </c>
      <c r="D6" s="8" t="n">
        <v>8</v>
      </c>
      <c r="E6" s="8">
        <f>B6-D6</f>
        <v/>
      </c>
      <c r="F6" s="8">
        <f>IF(C6=0,0,E6/(C6/60))</f>
        <v/>
      </c>
      <c r="G6" s="9" t="n">
        <v>8</v>
      </c>
      <c r="H6" s="8">
        <f>E6*G6</f>
        <v/>
      </c>
    </row>
    <row r="7">
      <c r="A7" s="4" t="inlineStr">
        <is>
          <t>Revision del botiquin del hogar</t>
        </is>
      </c>
      <c r="B7" s="5" t="n">
        <v>12</v>
      </c>
      <c r="C7" s="6" t="n">
        <v>20</v>
      </c>
      <c r="D7" s="5" t="n">
        <v>2</v>
      </c>
      <c r="E7" s="5">
        <f>B7-D7</f>
        <v/>
      </c>
      <c r="F7" s="5">
        <f>IF(C7=0,0,E7/(C7/60))</f>
        <v/>
      </c>
      <c r="G7" s="6" t="n">
        <v>15</v>
      </c>
      <c r="H7" s="5">
        <f>E7*G7</f>
        <v/>
      </c>
    </row>
    <row r="8">
      <c r="A8" s="10" t="inlineStr">
        <is>
          <t>TOTAL</t>
        </is>
      </c>
      <c r="B8" s="11" t="inlineStr"/>
      <c r="C8" s="11" t="inlineStr"/>
      <c r="D8" s="11" t="inlineStr"/>
      <c r="E8" s="11" t="inlineStr"/>
      <c r="F8" s="12">
        <f>IF(SUMPRODUCT(C3:C7,G3:G7)=0,0,H8/(SUMPRODUCT(C3:C7,G3:G7)/60))</f>
        <v/>
      </c>
      <c r="G8" s="13">
        <f>SUM(G3:G7)</f>
        <v/>
      </c>
      <c r="H8" s="12">
        <f>SUM(H3:H7)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40" customHeight="1">
      <c r="A1" s="1" t="inlineStr">
        <is>
          <t>Instrucciones  —  farmapro</t>
        </is>
      </c>
      <c r="B1" s="2" t="n"/>
      <c r="C1" s="2" t="n"/>
    </row>
    <row r="3">
      <c r="B3" s="14" t="inlineStr">
        <is>
          <t>Para que sirve</t>
        </is>
      </c>
    </row>
    <row r="4">
      <c r="B4" s="15" t="inlineStr">
        <is>
          <t>Esta hoja te ayuda a decidir que servicios profesionales merece la pena potenciar en tu farmacia. No basta con el precio: cuenta el tiempo que ocupa cada servicio y lo que rinde por hora de equipo.</t>
        </is>
      </c>
    </row>
    <row r="5">
      <c r="B5" s="15" t="inlineStr"/>
    </row>
    <row r="6">
      <c r="B6" s="14" t="inlineStr">
        <is>
          <t>Que rellenas tu (celdas en blanco)</t>
        </is>
      </c>
    </row>
    <row r="7">
      <c r="B7" s="15" t="inlineStr">
        <is>
          <t>• Servicio: el nombre de cada servicio (SPD, control de parametros, asesoramiento dermo...).</t>
        </is>
      </c>
    </row>
    <row r="8">
      <c r="B8" s="15" t="inlineStr">
        <is>
          <t>• Precio (€): lo que cobras por sesion o por servicio.</t>
        </is>
      </c>
    </row>
    <row r="9">
      <c r="B9" s="15" t="inlineStr">
        <is>
          <t>• Tiempo (min): los minutos que dedica el equipo a cada servicio.</t>
        </is>
      </c>
    </row>
    <row r="10">
      <c r="B10" s="15" t="inlineStr">
        <is>
          <t>• Coste directo (€): materiales o consumibles asociados a una sesion (no incluye el sueldo).</t>
        </is>
      </c>
    </row>
    <row r="11">
      <c r="B11" s="15" t="inlineStr">
        <is>
          <t>• Nº / mes estimado: cuantas veces prestas ese servicio al mes.</t>
        </is>
      </c>
    </row>
    <row r="12">
      <c r="B12" s="15" t="inlineStr"/>
    </row>
    <row r="13">
      <c r="B13" s="14" t="inlineStr">
        <is>
          <t>Que se calcula solo (celdas con formula)</t>
        </is>
      </c>
    </row>
    <row r="14">
      <c r="B14" s="15" t="inlineStr">
        <is>
          <t>• Margen € = Precio − Coste directo.</t>
        </is>
      </c>
    </row>
    <row r="15">
      <c r="B15" s="15" t="inlineStr">
        <is>
          <t>• Margen / hora (€) = Margen € dividido entre las horas que ocupa (tiempo en minutos / 60). Es el dato que mejor compara servicios de duracion distinta.</t>
        </is>
      </c>
    </row>
    <row r="16">
      <c r="B16" s="15" t="inlineStr">
        <is>
          <t>• Aporte mensual (€) = Margen € multiplicado por el Nº / mes estimado.</t>
        </is>
      </c>
    </row>
    <row r="17">
      <c r="B17" s="15" t="inlineStr">
        <is>
          <t>• La fila TOTAL suma el aporte mensual y calcula el margen por hora del conjunto.</t>
        </is>
      </c>
    </row>
    <row r="18">
      <c r="B18" s="15" t="inlineStr"/>
    </row>
    <row r="19">
      <c r="B19" s="14" t="inlineStr">
        <is>
          <t>Como leer los resultados</t>
        </is>
      </c>
    </row>
    <row r="20">
      <c r="B20" s="15" t="inlineStr">
        <is>
          <t>Fijate en el Margen / hora: un servicio caro que ocupa mucho tiempo puede rendir menos por hora que otro mas barato y rapido. El Aporte mensual te dice cuanto suma de verdad a la farmacia segun la frecuencia real con que lo prestas.</t>
        </is>
      </c>
    </row>
    <row r="21">
      <c r="B21" s="15" t="inlineStr"/>
    </row>
    <row r="22">
      <c r="B22" s="14" t="inlineStr">
        <is>
          <t>Nota</t>
        </is>
      </c>
    </row>
    <row r="23">
      <c r="B23" s="15" t="inlineStr">
        <is>
          <t>Las cifras de ejemplo son orientativas y sectoriales. Adaptalas a tu realidad. Es una herramienta de gestion comercial: no sustituye el criterio profesional farmaceutico ni implica promesa de resultado para el paciente.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2026-06-18T22:12:08Z</dcterms:created>
  <dcterms:modified xmlns:dcterms="http://purl.org/dc/terms/" xmlns:xsi="http://www.w3.org/2001/XMLSchema-instance" xsi:type="dcterms:W3CDTF">2026-06-18T22:12:08Z</dcterms:modified>
</cp:coreProperties>
</file>