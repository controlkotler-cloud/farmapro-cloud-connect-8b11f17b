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sumen" sheetId="1" state="visible" r:id="rId1"/>
    <sheet xmlns:r="http://schemas.openxmlformats.org/officeDocument/2006/relationships" name="2. Ficha" sheetId="2" state="visible" r:id="rId2"/>
    <sheet xmlns:r="http://schemas.openxmlformats.org/officeDocument/2006/relationships" name="3. Reuniones" sheetId="3" state="visible" r:id="rId3"/>
    <sheet xmlns:r="http://schemas.openxmlformats.org/officeDocument/2006/relationships" name="4. Cómo se lee" sheetId="4" state="visible" r:id="rId4"/>
  </sheets>
  <definedNames/>
  <calcPr calcId="124519" fullCalcOnLoad="1"/>
</workbook>
</file>

<file path=xl/styles.xml><?xml version="1.0" encoding="utf-8"?>
<styleSheet xmlns="http://schemas.openxmlformats.org/spreadsheetml/2006/main">
  <numFmts count="1">
    <numFmt numFmtId="164" formatCode="dd/mm/yyyy"/>
  </numFmts>
  <fonts count="12">
    <font>
      <name val="Calibri"/>
      <family val="2"/>
      <color theme="1"/>
      <sz val="11"/>
      <scheme val="minor"/>
    </font>
    <font>
      <name val="Calibri"/>
      <b val="1"/>
      <color rgb="005F8F20"/>
      <sz val="16"/>
    </font>
    <font>
      <name val="Calibri"/>
      <color rgb="006B7280"/>
      <sz val="10"/>
    </font>
    <font>
      <name val="Calibri"/>
      <b val="1"/>
      <color rgb="005F8F20"/>
      <sz val="10"/>
    </font>
    <font>
      <name val="Calibri"/>
      <b val="1"/>
      <color rgb="001A1A1A"/>
      <sz val="10"/>
    </font>
    <font>
      <name val="Calibri"/>
      <color rgb="001A1A1A"/>
      <sz val="10"/>
    </font>
    <font>
      <name val="Calibri"/>
      <i val="1"/>
      <color rgb="006B7280"/>
      <sz val="9"/>
    </font>
    <font>
      <name val="Calibri"/>
      <b val="1"/>
      <color rgb="001A1A1A"/>
      <sz val="9"/>
    </font>
    <font>
      <name val="Calibri"/>
      <b val="1"/>
      <color rgb="00B3261E"/>
      <sz val="10"/>
    </font>
    <font>
      <name val="Calibri"/>
      <b val="1"/>
      <color rgb="001A1A1A"/>
      <sz val="12"/>
    </font>
    <font>
      <name val="Calibri"/>
      <b val="1"/>
      <color rgb="005F8F20"/>
      <sz val="10"/>
      <u val="single"/>
    </font>
    <font>
      <name val="Calibri"/>
      <color rgb="006B7280"/>
      <sz val="9"/>
    </font>
  </fonts>
  <fills count="5">
    <fill>
      <patternFill/>
    </fill>
    <fill>
      <patternFill patternType="gray125"/>
    </fill>
    <fill>
      <patternFill patternType="solid">
        <fgColor rgb="00F4F8EA"/>
      </patternFill>
    </fill>
    <fill>
      <patternFill patternType="solid">
        <fgColor rgb="00FFFDE7"/>
      </patternFill>
    </fill>
    <fill>
      <patternFill patternType="solid">
        <fgColor rgb="00EAF3FF"/>
      </patternFill>
    </fill>
  </fills>
  <borders count="2">
    <border>
      <left/>
      <right/>
      <top/>
      <bottom/>
      <diagonal/>
    </border>
    <border>
      <left style="thin">
        <color rgb="00E5E7EB"/>
      </left>
      <right style="thin">
        <color rgb="00E5E7EB"/>
      </right>
      <top style="thin">
        <color rgb="00E5E7EB"/>
      </top>
      <bottom style="thin">
        <color rgb="00E5E7EB"/>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7" fillId="2" borderId="1" applyAlignment="1" pivotButton="0" quotePrefix="0" xfId="0">
      <alignment horizontal="center" vertical="center" wrapText="1"/>
    </xf>
    <xf numFmtId="0" fontId="4" fillId="4" borderId="1" applyAlignment="1" pivotButton="0" quotePrefix="0" xfId="0">
      <alignment vertical="center" wrapText="1" indent="1"/>
    </xf>
    <xf numFmtId="0" fontId="5" fillId="4" borderId="1" applyAlignment="1" pivotButton="0" quotePrefix="0" xfId="0">
      <alignment vertical="center" wrapText="1" indent="1"/>
    </xf>
    <xf numFmtId="164" fontId="5" fillId="4" borderId="1" applyAlignment="1" pivotButton="0" quotePrefix="0" xfId="0">
      <alignment horizontal="center" vertical="center"/>
    </xf>
    <xf numFmtId="0" fontId="8" fillId="4" borderId="1" applyAlignment="1" pivotButton="0" quotePrefix="0" xfId="0">
      <alignment vertical="center" wrapText="1" indent="1"/>
    </xf>
    <xf numFmtId="0" fontId="4" fillId="0" borderId="0" pivotButton="0" quotePrefix="0" xfId="0"/>
    <xf numFmtId="0" fontId="4" fillId="4" borderId="1" applyAlignment="1" pivotButton="0" quotePrefix="0" xfId="0">
      <alignment horizontal="center"/>
    </xf>
    <xf numFmtId="0" fontId="6" fillId="0" borderId="0" applyAlignment="1" pivotButton="0" quotePrefix="0" xfId="0">
      <alignment vertical="center" wrapText="1"/>
    </xf>
    <xf numFmtId="0" fontId="3" fillId="2" borderId="0" applyAlignment="1" pivotButton="0" quotePrefix="0" xfId="0">
      <alignment vertical="center" indent="1"/>
    </xf>
    <xf numFmtId="0" fontId="4" fillId="0" borderId="1" applyAlignment="1" pivotButton="0" quotePrefix="0" xfId="0">
      <alignment vertical="center" wrapText="1" indent="1"/>
    </xf>
    <xf numFmtId="0" fontId="5" fillId="3" borderId="1" applyAlignment="1" pivotButton="0" quotePrefix="0" xfId="0">
      <alignment vertical="center" wrapText="1" indent="1"/>
    </xf>
    <xf numFmtId="164" fontId="5" fillId="3" borderId="1" applyAlignment="1" pivotButton="0" quotePrefix="0" xfId="0">
      <alignment horizontal="left" vertical="center" indent="1"/>
    </xf>
    <xf numFmtId="0" fontId="4" fillId="0" borderId="1" applyAlignment="1" pivotButton="0" quotePrefix="0" xfId="0">
      <alignment vertical="center" indent="1"/>
    </xf>
    <xf numFmtId="0" fontId="6" fillId="0" borderId="1" applyAlignment="1" pivotButton="0" quotePrefix="0" xfId="0">
      <alignment vertical="center" indent="1"/>
    </xf>
    <xf numFmtId="164" fontId="5" fillId="3" borderId="1" applyAlignment="1" pivotButton="0" quotePrefix="0" xfId="0">
      <alignment vertical="center" wrapText="1" indent="1"/>
    </xf>
    <xf numFmtId="0" fontId="5" fillId="0" borderId="0" applyAlignment="1" pivotButton="0" quotePrefix="0" xfId="0">
      <alignment vertical="top" wrapText="1" indent="1"/>
    </xf>
    <xf numFmtId="0" fontId="9" fillId="2" borderId="0" pivotButton="0" quotePrefix="0" xfId="0"/>
    <xf numFmtId="0" fontId="10" fillId="0" borderId="0" pivotButton="0" quotePrefix="0" xfId="0"/>
    <xf numFmtId="0" fontId="11" fillId="0" borderId="0" pivotButton="0" quotePrefix="0" xfId="0"/>
  </cellXfs>
  <cellStyles count="1">
    <cellStyle name="Normal" xfId="0" builtinId="0" hidden="0"/>
  </cellStyles>
  <dxfs count="2">
    <dxf>
      <fill>
        <patternFill patternType="solid">
          <fgColor rgb="00FFF3CD"/>
        </patternFill>
      </fill>
    </dxf>
    <dxf>
      <fill>
        <patternFill patternType="solid">
          <fgColor rgb="00FBE2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portal.farmapro.es/cursos?utm_source=farmapro&amp;utm_medium=excel&amp;utm_campaign=n31-cada-categoria-un-dueno" TargetMode="External" Id="rId1"/></Relationships>
</file>

<file path=xl/worksheets/sheet1.xml><?xml version="1.0" encoding="utf-8"?>
<worksheet xmlns="http://schemas.openxmlformats.org/spreadsheetml/2006/main">
  <sheetPr>
    <outlinePr summaryBelow="1" summaryRight="1"/>
    <pageSetUpPr fitToPage="1"/>
  </sheetPr>
  <dimension ref="A1:G18"/>
  <sheetViews>
    <sheetView showGridLines="0" tabSelected="1" workbookViewId="0">
      <selection activeCell="A1" sqref="A1"/>
    </sheetView>
  </sheetViews>
  <sheetFormatPr baseColWidth="8" defaultRowHeight="15"/>
  <cols>
    <col width="24" customWidth="1" min="1" max="1"/>
    <col width="22" customWidth="1" min="2" max="2"/>
    <col width="26" customWidth="1" min="3" max="3"/>
    <col width="24" customWidth="1" min="4" max="4"/>
    <col width="16" customWidth="1" min="5" max="5"/>
    <col width="16" customWidth="1" min="6" max="6"/>
    <col width="22" customWidth="1" min="7" max="7"/>
    <col width="4" customWidth="1" min="8" max="8"/>
  </cols>
  <sheetData>
    <row r="1" ht="24" customHeight="1">
      <c r="A1" s="1" t="inlineStr">
        <is>
          <t>FICHA DE CATEGORÍA · RESUMEN</t>
        </is>
      </c>
    </row>
    <row r="2">
      <c r="A2" s="2" t="inlineStr">
        <is>
          <t>Se rellena solo a partir de las hojas 2 y 3. No escribas aquí.</t>
        </is>
      </c>
    </row>
    <row r="3" ht="8" customHeight="1"/>
    <row r="5" ht="30" customHeight="1">
      <c r="A5" s="3" t="inlineStr">
        <is>
          <t>Categoría</t>
        </is>
      </c>
      <c r="B5" s="3" t="inlineStr">
        <is>
          <t>Responsable</t>
        </is>
      </c>
      <c r="C5" s="3" t="inlineStr">
        <is>
          <t>Objetivo del trimestre</t>
        </is>
      </c>
      <c r="D5" s="3" t="inlineStr">
        <is>
          <t>Presupuesto de surtido</t>
        </is>
      </c>
      <c r="E5" s="3" t="inlineStr">
        <is>
          <t>Última reunión</t>
        </is>
      </c>
      <c r="F5" s="3" t="inlineStr">
        <is>
          <t>Próxima revisión</t>
        </is>
      </c>
      <c r="G5" s="3" t="inlineStr">
        <is>
          <t>Aviso</t>
        </is>
      </c>
    </row>
    <row r="6" ht="26" customHeight="1">
      <c r="A6" s="4">
        <f>IF('2. Ficha'!C5="","",'2. Ficha'!C5)</f>
        <v/>
      </c>
      <c r="B6" s="5">
        <f>IF('2. Ficha'!C6="","",'2. Ficha'!C6)</f>
        <v/>
      </c>
      <c r="C6" s="5">
        <f>IF('2. Ficha'!C7="","",'2. Ficha'!C7)</f>
        <v/>
      </c>
      <c r="D6" s="5">
        <f>IF('2. Ficha'!C8="","",'2. Ficha'!C8)</f>
        <v/>
      </c>
      <c r="E6" s="6">
        <f>IF($A6="","",IF(SUMPRODUCT(MAX(('3. Reuniones'!$B$5:$B$64=$A6)*('3. Reuniones'!$A$5:$A$64&lt;&gt;"")*'3. Reuniones'!$A$5:$A$64))=0,"",SUMPRODUCT(MAX(('3. Reuniones'!$B$5:$B$64=$A6)*('3. Reuniones'!$A$5:$A$64&lt;&gt;"")*'3. Reuniones'!$A$5:$A$64))))</f>
        <v/>
      </c>
      <c r="F6" s="6">
        <f>IF('2. Ficha'!C10="","",'2. Ficha'!C10)</f>
        <v/>
      </c>
      <c r="G6" s="7">
        <f>IF($A6="","",IF($E6="","Sin reunión",IF(TODAY()-$E6&gt;45,"Sin reunión",IF(AND($F6&lt;&gt;"",$F6&lt;TODAY()),"Revisión vencida",""))))</f>
        <v/>
      </c>
    </row>
    <row r="7" ht="26" customHeight="1">
      <c r="A7" s="4">
        <f>IF('2. Ficha'!C15="","",'2. Ficha'!C15)</f>
        <v/>
      </c>
      <c r="B7" s="5">
        <f>IF('2. Ficha'!C16="","",'2. Ficha'!C16)</f>
        <v/>
      </c>
      <c r="C7" s="5">
        <f>IF('2. Ficha'!C17="","",'2. Ficha'!C17)</f>
        <v/>
      </c>
      <c r="D7" s="5">
        <f>IF('2. Ficha'!C18="","",'2. Ficha'!C18)</f>
        <v/>
      </c>
      <c r="E7" s="6">
        <f>IF($A7="","",IF(SUMPRODUCT(MAX(('3. Reuniones'!$B$5:$B$64=$A7)*('3. Reuniones'!$A$5:$A$64&lt;&gt;"")*'3. Reuniones'!$A$5:$A$64))=0,"",SUMPRODUCT(MAX(('3. Reuniones'!$B$5:$B$64=$A7)*('3. Reuniones'!$A$5:$A$64&lt;&gt;"")*'3. Reuniones'!$A$5:$A$64))))</f>
        <v/>
      </c>
      <c r="F7" s="6">
        <f>IF('2. Ficha'!C20="","",'2. Ficha'!C20)</f>
        <v/>
      </c>
      <c r="G7" s="7">
        <f>IF($A7="","",IF($E7="","Sin reunión",IF(TODAY()-$E7&gt;45,"Sin reunión",IF(AND($F7&lt;&gt;"",$F7&lt;TODAY()),"Revisión vencida",""))))</f>
        <v/>
      </c>
    </row>
    <row r="8" ht="26" customHeight="1">
      <c r="A8" s="4">
        <f>IF('2. Ficha'!C25="","",'2. Ficha'!C25)</f>
        <v/>
      </c>
      <c r="B8" s="5">
        <f>IF('2. Ficha'!C26="","",'2. Ficha'!C26)</f>
        <v/>
      </c>
      <c r="C8" s="5">
        <f>IF('2. Ficha'!C27="","",'2. Ficha'!C27)</f>
        <v/>
      </c>
      <c r="D8" s="5">
        <f>IF('2. Ficha'!C28="","",'2. Ficha'!C28)</f>
        <v/>
      </c>
      <c r="E8" s="6">
        <f>IF($A8="","",IF(SUMPRODUCT(MAX(('3. Reuniones'!$B$5:$B$64=$A8)*('3. Reuniones'!$A$5:$A$64&lt;&gt;"")*'3. Reuniones'!$A$5:$A$64))=0,"",SUMPRODUCT(MAX(('3. Reuniones'!$B$5:$B$64=$A8)*('3. Reuniones'!$A$5:$A$64&lt;&gt;"")*'3. Reuniones'!$A$5:$A$64))))</f>
        <v/>
      </c>
      <c r="F8" s="6">
        <f>IF('2. Ficha'!C30="","",'2. Ficha'!C30)</f>
        <v/>
      </c>
      <c r="G8" s="7">
        <f>IF($A8="","",IF($E8="","Sin reunión",IF(TODAY()-$E8&gt;45,"Sin reunión",IF(AND($F8&lt;&gt;"",$F8&lt;TODAY()),"Revisión vencida",""))))</f>
        <v/>
      </c>
    </row>
    <row r="9" ht="26" customHeight="1">
      <c r="A9" s="4">
        <f>IF('2. Ficha'!C35="","",'2. Ficha'!C35)</f>
        <v/>
      </c>
      <c r="B9" s="5">
        <f>IF('2. Ficha'!C36="","",'2. Ficha'!C36)</f>
        <v/>
      </c>
      <c r="C9" s="5">
        <f>IF('2. Ficha'!C37="","",'2. Ficha'!C37)</f>
        <v/>
      </c>
      <c r="D9" s="5">
        <f>IF('2. Ficha'!C38="","",'2. Ficha'!C38)</f>
        <v/>
      </c>
      <c r="E9" s="6">
        <f>IF($A9="","",IF(SUMPRODUCT(MAX(('3. Reuniones'!$B$5:$B$64=$A9)*('3. Reuniones'!$A$5:$A$64&lt;&gt;"")*'3. Reuniones'!$A$5:$A$64))=0,"",SUMPRODUCT(MAX(('3. Reuniones'!$B$5:$B$64=$A9)*('3. Reuniones'!$A$5:$A$64&lt;&gt;"")*'3. Reuniones'!$A$5:$A$64))))</f>
        <v/>
      </c>
      <c r="F9" s="6">
        <f>IF('2. Ficha'!C40="","",'2. Ficha'!C40)</f>
        <v/>
      </c>
      <c r="G9" s="7">
        <f>IF($A9="","",IF($E9="","Sin reunión",IF(TODAY()-$E9&gt;45,"Sin reunión",IF(AND($F9&lt;&gt;"",$F9&lt;TODAY()),"Revisión vencida",""))))</f>
        <v/>
      </c>
    </row>
    <row r="10" ht="26" customHeight="1">
      <c r="A10" s="4">
        <f>IF('2. Ficha'!C45="","",'2. Ficha'!C45)</f>
        <v/>
      </c>
      <c r="B10" s="5">
        <f>IF('2. Ficha'!C46="","",'2. Ficha'!C46)</f>
        <v/>
      </c>
      <c r="C10" s="5">
        <f>IF('2. Ficha'!C47="","",'2. Ficha'!C47)</f>
        <v/>
      </c>
      <c r="D10" s="5">
        <f>IF('2. Ficha'!C48="","",'2. Ficha'!C48)</f>
        <v/>
      </c>
      <c r="E10" s="6">
        <f>IF($A10="","",IF(SUMPRODUCT(MAX(('3. Reuniones'!$B$5:$B$64=$A10)*('3. Reuniones'!$A$5:$A$64&lt;&gt;"")*'3. Reuniones'!$A$5:$A$64))=0,"",SUMPRODUCT(MAX(('3. Reuniones'!$B$5:$B$64=$A10)*('3. Reuniones'!$A$5:$A$64&lt;&gt;"")*'3. Reuniones'!$A$5:$A$64))))</f>
        <v/>
      </c>
      <c r="F10" s="6">
        <f>IF('2. Ficha'!C50="","",'2. Ficha'!C50)</f>
        <v/>
      </c>
      <c r="G10" s="7">
        <f>IF($A10="","",IF($E10="","Sin reunión",IF(TODAY()-$E10&gt;45,"Sin reunión",IF(AND($F10&lt;&gt;"",$F10&lt;TODAY()),"Revisión vencida",""))))</f>
        <v/>
      </c>
    </row>
    <row r="11" ht="26" customHeight="1">
      <c r="A11" s="4">
        <f>IF('2. Ficha'!C55="","",'2. Ficha'!C55)</f>
        <v/>
      </c>
      <c r="B11" s="5">
        <f>IF('2. Ficha'!C56="","",'2. Ficha'!C56)</f>
        <v/>
      </c>
      <c r="C11" s="5">
        <f>IF('2. Ficha'!C57="","",'2. Ficha'!C57)</f>
        <v/>
      </c>
      <c r="D11" s="5">
        <f>IF('2. Ficha'!C58="","",'2. Ficha'!C58)</f>
        <v/>
      </c>
      <c r="E11" s="6">
        <f>IF($A11="","",IF(SUMPRODUCT(MAX(('3. Reuniones'!$B$5:$B$64=$A11)*('3. Reuniones'!$A$5:$A$64&lt;&gt;"")*'3. Reuniones'!$A$5:$A$64))=0,"",SUMPRODUCT(MAX(('3. Reuniones'!$B$5:$B$64=$A11)*('3. Reuniones'!$A$5:$A$64&lt;&gt;"")*'3. Reuniones'!$A$5:$A$64))))</f>
        <v/>
      </c>
      <c r="F11" s="6">
        <f>IF('2. Ficha'!C60="","",'2. Ficha'!C60)</f>
        <v/>
      </c>
      <c r="G11" s="7">
        <f>IF($A11="","",IF($E11="","Sin reunión",IF(TODAY()-$E11&gt;45,"Sin reunión",IF(AND($F11&lt;&gt;"",$F11&lt;TODAY()),"Revisión vencida",""))))</f>
        <v/>
      </c>
    </row>
    <row r="12" ht="26" customHeight="1">
      <c r="A12" s="4">
        <f>IF('2. Ficha'!C65="","",'2. Ficha'!C65)</f>
        <v/>
      </c>
      <c r="B12" s="5">
        <f>IF('2. Ficha'!C66="","",'2. Ficha'!C66)</f>
        <v/>
      </c>
      <c r="C12" s="5">
        <f>IF('2. Ficha'!C67="","",'2. Ficha'!C67)</f>
        <v/>
      </c>
      <c r="D12" s="5">
        <f>IF('2. Ficha'!C68="","",'2. Ficha'!C68)</f>
        <v/>
      </c>
      <c r="E12" s="6">
        <f>IF($A12="","",IF(SUMPRODUCT(MAX(('3. Reuniones'!$B$5:$B$64=$A12)*('3. Reuniones'!$A$5:$A$64&lt;&gt;"")*'3. Reuniones'!$A$5:$A$64))=0,"",SUMPRODUCT(MAX(('3. Reuniones'!$B$5:$B$64=$A12)*('3. Reuniones'!$A$5:$A$64&lt;&gt;"")*'3. Reuniones'!$A$5:$A$64))))</f>
        <v/>
      </c>
      <c r="F12" s="6">
        <f>IF('2. Ficha'!C70="","",'2. Ficha'!C70)</f>
        <v/>
      </c>
      <c r="G12" s="7">
        <f>IF($A12="","",IF($E12="","Sin reunión",IF(TODAY()-$E12&gt;45,"Sin reunión",IF(AND($F12&lt;&gt;"",$F12&lt;TODAY()),"Revisión vencida",""))))</f>
        <v/>
      </c>
    </row>
    <row r="13" ht="26" customHeight="1">
      <c r="A13" s="4">
        <f>IF('2. Ficha'!C75="","",'2. Ficha'!C75)</f>
        <v/>
      </c>
      <c r="B13" s="5">
        <f>IF('2. Ficha'!C76="","",'2. Ficha'!C76)</f>
        <v/>
      </c>
      <c r="C13" s="5">
        <f>IF('2. Ficha'!C77="","",'2. Ficha'!C77)</f>
        <v/>
      </c>
      <c r="D13" s="5">
        <f>IF('2. Ficha'!C78="","",'2. Ficha'!C78)</f>
        <v/>
      </c>
      <c r="E13" s="6">
        <f>IF($A13="","",IF(SUMPRODUCT(MAX(('3. Reuniones'!$B$5:$B$64=$A13)*('3. Reuniones'!$A$5:$A$64&lt;&gt;"")*'3. Reuniones'!$A$5:$A$64))=0,"",SUMPRODUCT(MAX(('3. Reuniones'!$B$5:$B$64=$A13)*('3. Reuniones'!$A$5:$A$64&lt;&gt;"")*'3. Reuniones'!$A$5:$A$64))))</f>
        <v/>
      </c>
      <c r="F13" s="6">
        <f>IF('2. Ficha'!C80="","",'2. Ficha'!C80)</f>
        <v/>
      </c>
      <c r="G13" s="7">
        <f>IF($A13="","",IF($E13="","Sin reunión",IF(TODAY()-$E13&gt;45,"Sin reunión",IF(AND($F13&lt;&gt;"",$F13&lt;TODAY()),"Revisión vencida",""))))</f>
        <v/>
      </c>
    </row>
    <row r="15">
      <c r="A15" s="8" t="inlineStr">
        <is>
          <t>Categorías con responsable:</t>
        </is>
      </c>
      <c r="B15" s="9">
        <f>SUMPRODUCT((A6:A13&lt;&gt;"")*(B6:B13&lt;&gt;""))</f>
        <v/>
      </c>
    </row>
    <row r="16">
      <c r="A16" s="8" t="inlineStr">
        <is>
          <t>Categorías sin responsable:</t>
        </is>
      </c>
      <c r="B16" s="9">
        <f>SUMPRODUCT((A6:A13&lt;&gt;"")*(B6:B13=""))</f>
        <v/>
      </c>
    </row>
    <row r="18" ht="28" customHeight="1">
      <c r="A18" s="10" t="inlineStr">
        <is>
          <t>Avisos: «Sin reunión» si no hay ninguna reunión registrada o han pasado más de 45 días; «Revisión vencida» si la fecha de próxima revisión ya pasó.</t>
        </is>
      </c>
    </row>
  </sheetData>
  <mergeCells count="3">
    <mergeCell ref="A2:G2"/>
    <mergeCell ref="A1:G1"/>
    <mergeCell ref="A18:G18"/>
  </mergeCells>
  <conditionalFormatting sqref="G6:G13">
    <cfRule type="expression" priority="1" dxfId="0">
      <formula>$G6&lt;&gt;""</formula>
    </cfRule>
  </conditionalFormatting>
  <conditionalFormatting sqref="B6:B13">
    <cfRule type="expression" priority="2" dxfId="1">
      <formula>AND($A6&lt;&gt;"",$B6="")</formula>
    </cfRule>
  </conditionalFormatting>
  <pageMargins left="0.3" right="0.3" top="0.4" bottom="0.4" header="0.5" footer="0.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C82"/>
  <sheetViews>
    <sheetView showGridLines="0" tabSelected="0" workbookViewId="0">
      <selection activeCell="A1" sqref="A1"/>
    </sheetView>
  </sheetViews>
  <sheetFormatPr baseColWidth="8" defaultRowHeight="15"/>
  <cols>
    <col width="4" customWidth="1" min="1" max="1"/>
    <col width="36" customWidth="1" min="2" max="2"/>
    <col width="80" customWidth="1" min="3" max="3"/>
  </cols>
  <sheetData>
    <row r="1" ht="24" customHeight="1">
      <c r="A1" s="1" t="inlineStr">
        <is>
          <t>FICHA DE CATEGORÍA · UNA POR CATEGORÍA</t>
        </is>
      </c>
    </row>
    <row r="2">
      <c r="A2" s="2" t="inlineStr">
        <is>
          <t>Amarillo: lo rellenas tú. Azul: se calcula solo con la hoja Reuniones.</t>
        </is>
      </c>
    </row>
    <row r="3" ht="8" customHeight="1"/>
    <row r="4">
      <c r="A4" s="11" t="inlineStr">
        <is>
          <t>Categoría 1</t>
        </is>
      </c>
    </row>
    <row r="5" ht="22" customHeight="1">
      <c r="B5" s="12" t="inlineStr">
        <is>
          <t>Categoría</t>
        </is>
      </c>
      <c r="C5" s="13" t="n"/>
    </row>
    <row r="6" ht="22" customHeight="1">
      <c r="B6" s="12" t="inlineStr">
        <is>
          <t>Responsable</t>
        </is>
      </c>
      <c r="C6" s="13" t="n"/>
    </row>
    <row r="7" ht="22" customHeight="1">
      <c r="B7" s="12" t="inlineStr">
        <is>
          <t>Objetivo del trimestre (una cifra)</t>
        </is>
      </c>
      <c r="C7" s="13" t="n"/>
    </row>
    <row r="8" ht="22" customHeight="1">
      <c r="B8" s="12" t="inlineStr">
        <is>
          <t>Presupuesto de surtido</t>
        </is>
      </c>
      <c r="C8" s="13" t="n"/>
    </row>
    <row r="9" ht="36" customHeight="1">
      <c r="B9" s="12" t="inlineStr">
        <is>
          <t>Criterio de exposición</t>
        </is>
      </c>
      <c r="C9" s="13" t="n"/>
    </row>
    <row r="10" ht="22" customHeight="1">
      <c r="B10" s="12" t="inlineStr">
        <is>
          <t>Próxima revisión (fecha)</t>
        </is>
      </c>
      <c r="C10" s="14" t="n"/>
    </row>
    <row r="11" ht="36" customHeight="1">
      <c r="B11" s="15" t="inlineStr">
        <is>
          <t>Última decisión tomada</t>
        </is>
      </c>
      <c r="C11" s="5">
        <f>IF($C$5="","",IFERROR(LOOKUP(2,1/(('3. Reuniones'!$B$5:$B$64=$C$5)*('3. Reuniones'!$A$5:$A$64&lt;&gt;"")),'3. Reuniones'!$G$5:$G$64),""))</f>
        <v/>
      </c>
    </row>
    <row r="12" ht="22" customHeight="1">
      <c r="B12" s="12" t="inlineStr">
        <is>
          <t>Fecha y notas de cada reunión</t>
        </is>
      </c>
      <c r="C12" s="16" t="inlineStr">
        <is>
          <t>Se apuntan en la hoja 3. Reuniones: una fila por reunión.</t>
        </is>
      </c>
    </row>
    <row r="13" ht="10" customHeight="1"/>
    <row r="14">
      <c r="A14" s="11" t="inlineStr">
        <is>
          <t>Categoría 2</t>
        </is>
      </c>
    </row>
    <row r="15" ht="22" customHeight="1">
      <c r="B15" s="12" t="inlineStr">
        <is>
          <t>Categoría</t>
        </is>
      </c>
      <c r="C15" s="13" t="n"/>
    </row>
    <row r="16" ht="22" customHeight="1">
      <c r="B16" s="12" t="inlineStr">
        <is>
          <t>Responsable</t>
        </is>
      </c>
      <c r="C16" s="13" t="n"/>
    </row>
    <row r="17" ht="22" customHeight="1">
      <c r="B17" s="12" t="inlineStr">
        <is>
          <t>Objetivo del trimestre (una cifra)</t>
        </is>
      </c>
      <c r="C17" s="13" t="n"/>
    </row>
    <row r="18" ht="22" customHeight="1">
      <c r="B18" s="12" t="inlineStr">
        <is>
          <t>Presupuesto de surtido</t>
        </is>
      </c>
      <c r="C18" s="13" t="n"/>
    </row>
    <row r="19" ht="36" customHeight="1">
      <c r="B19" s="12" t="inlineStr">
        <is>
          <t>Criterio de exposición</t>
        </is>
      </c>
      <c r="C19" s="13" t="n"/>
    </row>
    <row r="20" ht="22" customHeight="1">
      <c r="B20" s="12" t="inlineStr">
        <is>
          <t>Próxima revisión (fecha)</t>
        </is>
      </c>
      <c r="C20" s="14" t="n"/>
    </row>
    <row r="21" ht="36" customHeight="1">
      <c r="B21" s="15" t="inlineStr">
        <is>
          <t>Última decisión tomada</t>
        </is>
      </c>
      <c r="C21" s="5">
        <f>IF($C$15="","",IFERROR(LOOKUP(2,1/(('3. Reuniones'!$B$5:$B$64=$C$15)*('3. Reuniones'!$A$5:$A$64&lt;&gt;"")),'3. Reuniones'!$G$5:$G$64),""))</f>
        <v/>
      </c>
    </row>
    <row r="22" ht="22" customHeight="1">
      <c r="B22" s="12" t="inlineStr">
        <is>
          <t>Fecha y notas de cada reunión</t>
        </is>
      </c>
      <c r="C22" s="16" t="inlineStr">
        <is>
          <t>Se apuntan en la hoja 3. Reuniones: una fila por reunión.</t>
        </is>
      </c>
    </row>
    <row r="23" ht="10" customHeight="1"/>
    <row r="24">
      <c r="A24" s="11" t="inlineStr">
        <is>
          <t>Categoría 3</t>
        </is>
      </c>
    </row>
    <row r="25" ht="22" customHeight="1">
      <c r="B25" s="12" t="inlineStr">
        <is>
          <t>Categoría</t>
        </is>
      </c>
      <c r="C25" s="13" t="n"/>
    </row>
    <row r="26" ht="22" customHeight="1">
      <c r="B26" s="12" t="inlineStr">
        <is>
          <t>Responsable</t>
        </is>
      </c>
      <c r="C26" s="13" t="n"/>
    </row>
    <row r="27" ht="22" customHeight="1">
      <c r="B27" s="12" t="inlineStr">
        <is>
          <t>Objetivo del trimestre (una cifra)</t>
        </is>
      </c>
      <c r="C27" s="13" t="n"/>
    </row>
    <row r="28" ht="22" customHeight="1">
      <c r="B28" s="12" t="inlineStr">
        <is>
          <t>Presupuesto de surtido</t>
        </is>
      </c>
      <c r="C28" s="13" t="n"/>
    </row>
    <row r="29" ht="36" customHeight="1">
      <c r="B29" s="12" t="inlineStr">
        <is>
          <t>Criterio de exposición</t>
        </is>
      </c>
      <c r="C29" s="13" t="n"/>
    </row>
    <row r="30" ht="22" customHeight="1">
      <c r="B30" s="12" t="inlineStr">
        <is>
          <t>Próxima revisión (fecha)</t>
        </is>
      </c>
      <c r="C30" s="14" t="n"/>
    </row>
    <row r="31" ht="36" customHeight="1">
      <c r="B31" s="15" t="inlineStr">
        <is>
          <t>Última decisión tomada</t>
        </is>
      </c>
      <c r="C31" s="5">
        <f>IF($C$25="","",IFERROR(LOOKUP(2,1/(('3. Reuniones'!$B$5:$B$64=$C$25)*('3. Reuniones'!$A$5:$A$64&lt;&gt;"")),'3. Reuniones'!$G$5:$G$64),""))</f>
        <v/>
      </c>
    </row>
    <row r="32" ht="22" customHeight="1">
      <c r="B32" s="12" t="inlineStr">
        <is>
          <t>Fecha y notas de cada reunión</t>
        </is>
      </c>
      <c r="C32" s="16" t="inlineStr">
        <is>
          <t>Se apuntan en la hoja 3. Reuniones: una fila por reunión.</t>
        </is>
      </c>
    </row>
    <row r="33" ht="10" customHeight="1"/>
    <row r="34">
      <c r="A34" s="11" t="inlineStr">
        <is>
          <t>Categoría 4</t>
        </is>
      </c>
    </row>
    <row r="35" ht="22" customHeight="1">
      <c r="B35" s="12" t="inlineStr">
        <is>
          <t>Categoría</t>
        </is>
      </c>
      <c r="C35" s="13" t="n"/>
    </row>
    <row r="36" ht="22" customHeight="1">
      <c r="B36" s="12" t="inlineStr">
        <is>
          <t>Responsable</t>
        </is>
      </c>
      <c r="C36" s="13" t="n"/>
    </row>
    <row r="37" ht="22" customHeight="1">
      <c r="B37" s="12" t="inlineStr">
        <is>
          <t>Objetivo del trimestre (una cifra)</t>
        </is>
      </c>
      <c r="C37" s="13" t="n"/>
    </row>
    <row r="38" ht="22" customHeight="1">
      <c r="B38" s="12" t="inlineStr">
        <is>
          <t>Presupuesto de surtido</t>
        </is>
      </c>
      <c r="C38" s="13" t="n"/>
    </row>
    <row r="39" ht="36" customHeight="1">
      <c r="B39" s="12" t="inlineStr">
        <is>
          <t>Criterio de exposición</t>
        </is>
      </c>
      <c r="C39" s="13" t="n"/>
    </row>
    <row r="40" ht="22" customHeight="1">
      <c r="B40" s="12" t="inlineStr">
        <is>
          <t>Próxima revisión (fecha)</t>
        </is>
      </c>
      <c r="C40" s="14" t="n"/>
    </row>
    <row r="41" ht="36" customHeight="1">
      <c r="B41" s="15" t="inlineStr">
        <is>
          <t>Última decisión tomada</t>
        </is>
      </c>
      <c r="C41" s="5">
        <f>IF($C$35="","",IFERROR(LOOKUP(2,1/(('3. Reuniones'!$B$5:$B$64=$C$35)*('3. Reuniones'!$A$5:$A$64&lt;&gt;"")),'3. Reuniones'!$G$5:$G$64),""))</f>
        <v/>
      </c>
    </row>
    <row r="42" ht="22" customHeight="1">
      <c r="B42" s="12" t="inlineStr">
        <is>
          <t>Fecha y notas de cada reunión</t>
        </is>
      </c>
      <c r="C42" s="16" t="inlineStr">
        <is>
          <t>Se apuntan en la hoja 3. Reuniones: una fila por reunión.</t>
        </is>
      </c>
    </row>
    <row r="43" ht="10" customHeight="1"/>
    <row r="44">
      <c r="A44" s="11" t="inlineStr">
        <is>
          <t>Categoría 5</t>
        </is>
      </c>
    </row>
    <row r="45" ht="22" customHeight="1">
      <c r="B45" s="12" t="inlineStr">
        <is>
          <t>Categoría</t>
        </is>
      </c>
      <c r="C45" s="13" t="n"/>
    </row>
    <row r="46" ht="22" customHeight="1">
      <c r="B46" s="12" t="inlineStr">
        <is>
          <t>Responsable</t>
        </is>
      </c>
      <c r="C46" s="13" t="n"/>
    </row>
    <row r="47" ht="22" customHeight="1">
      <c r="B47" s="12" t="inlineStr">
        <is>
          <t>Objetivo del trimestre (una cifra)</t>
        </is>
      </c>
      <c r="C47" s="13" t="n"/>
    </row>
    <row r="48" ht="22" customHeight="1">
      <c r="B48" s="12" t="inlineStr">
        <is>
          <t>Presupuesto de surtido</t>
        </is>
      </c>
      <c r="C48" s="13" t="n"/>
    </row>
    <row r="49" ht="36" customHeight="1">
      <c r="B49" s="12" t="inlineStr">
        <is>
          <t>Criterio de exposición</t>
        </is>
      </c>
      <c r="C49" s="13" t="n"/>
    </row>
    <row r="50" ht="22" customHeight="1">
      <c r="B50" s="12" t="inlineStr">
        <is>
          <t>Próxima revisión (fecha)</t>
        </is>
      </c>
      <c r="C50" s="14" t="n"/>
    </row>
    <row r="51" ht="36" customHeight="1">
      <c r="B51" s="15" t="inlineStr">
        <is>
          <t>Última decisión tomada</t>
        </is>
      </c>
      <c r="C51" s="5">
        <f>IF($C$45="","",IFERROR(LOOKUP(2,1/(('3. Reuniones'!$B$5:$B$64=$C$45)*('3. Reuniones'!$A$5:$A$64&lt;&gt;"")),'3. Reuniones'!$G$5:$G$64),""))</f>
        <v/>
      </c>
    </row>
    <row r="52" ht="22" customHeight="1">
      <c r="B52" s="12" t="inlineStr">
        <is>
          <t>Fecha y notas de cada reunión</t>
        </is>
      </c>
      <c r="C52" s="16" t="inlineStr">
        <is>
          <t>Se apuntan en la hoja 3. Reuniones: una fila por reunión.</t>
        </is>
      </c>
    </row>
    <row r="53" ht="10" customHeight="1"/>
    <row r="54">
      <c r="A54" s="11" t="inlineStr">
        <is>
          <t>Categoría 6</t>
        </is>
      </c>
    </row>
    <row r="55" ht="22" customHeight="1">
      <c r="B55" s="12" t="inlineStr">
        <is>
          <t>Categoría</t>
        </is>
      </c>
      <c r="C55" s="13" t="n"/>
    </row>
    <row r="56" ht="22" customHeight="1">
      <c r="B56" s="12" t="inlineStr">
        <is>
          <t>Responsable</t>
        </is>
      </c>
      <c r="C56" s="13" t="n"/>
    </row>
    <row r="57" ht="22" customHeight="1">
      <c r="B57" s="12" t="inlineStr">
        <is>
          <t>Objetivo del trimestre (una cifra)</t>
        </is>
      </c>
      <c r="C57" s="13" t="n"/>
    </row>
    <row r="58" ht="22" customHeight="1">
      <c r="B58" s="12" t="inlineStr">
        <is>
          <t>Presupuesto de surtido</t>
        </is>
      </c>
      <c r="C58" s="13" t="n"/>
    </row>
    <row r="59" ht="36" customHeight="1">
      <c r="B59" s="12" t="inlineStr">
        <is>
          <t>Criterio de exposición</t>
        </is>
      </c>
      <c r="C59" s="13" t="n"/>
    </row>
    <row r="60" ht="22" customHeight="1">
      <c r="B60" s="12" t="inlineStr">
        <is>
          <t>Próxima revisión (fecha)</t>
        </is>
      </c>
      <c r="C60" s="14" t="n"/>
    </row>
    <row r="61" ht="36" customHeight="1">
      <c r="B61" s="15" t="inlineStr">
        <is>
          <t>Última decisión tomada</t>
        </is>
      </c>
      <c r="C61" s="5">
        <f>IF($C$55="","",IFERROR(LOOKUP(2,1/(('3. Reuniones'!$B$5:$B$64=$C$55)*('3. Reuniones'!$A$5:$A$64&lt;&gt;"")),'3. Reuniones'!$G$5:$G$64),""))</f>
        <v/>
      </c>
    </row>
    <row r="62" ht="22" customHeight="1">
      <c r="B62" s="12" t="inlineStr">
        <is>
          <t>Fecha y notas de cada reunión</t>
        </is>
      </c>
      <c r="C62" s="16" t="inlineStr">
        <is>
          <t>Se apuntan en la hoja 3. Reuniones: una fila por reunión.</t>
        </is>
      </c>
    </row>
    <row r="63" ht="10" customHeight="1"/>
    <row r="64">
      <c r="A64" s="11" t="inlineStr">
        <is>
          <t>Categoría 7</t>
        </is>
      </c>
    </row>
    <row r="65" ht="22" customHeight="1">
      <c r="B65" s="12" t="inlineStr">
        <is>
          <t>Categoría</t>
        </is>
      </c>
      <c r="C65" s="13" t="n"/>
    </row>
    <row r="66" ht="22" customHeight="1">
      <c r="B66" s="12" t="inlineStr">
        <is>
          <t>Responsable</t>
        </is>
      </c>
      <c r="C66" s="13" t="n"/>
    </row>
    <row r="67" ht="22" customHeight="1">
      <c r="B67" s="12" t="inlineStr">
        <is>
          <t>Objetivo del trimestre (una cifra)</t>
        </is>
      </c>
      <c r="C67" s="13" t="n"/>
    </row>
    <row r="68" ht="22" customHeight="1">
      <c r="B68" s="12" t="inlineStr">
        <is>
          <t>Presupuesto de surtido</t>
        </is>
      </c>
      <c r="C68" s="13" t="n"/>
    </row>
    <row r="69" ht="36" customHeight="1">
      <c r="B69" s="12" t="inlineStr">
        <is>
          <t>Criterio de exposición</t>
        </is>
      </c>
      <c r="C69" s="13" t="n"/>
    </row>
    <row r="70" ht="22" customHeight="1">
      <c r="B70" s="12" t="inlineStr">
        <is>
          <t>Próxima revisión (fecha)</t>
        </is>
      </c>
      <c r="C70" s="14" t="n"/>
    </row>
    <row r="71" ht="36" customHeight="1">
      <c r="B71" s="15" t="inlineStr">
        <is>
          <t>Última decisión tomada</t>
        </is>
      </c>
      <c r="C71" s="5">
        <f>IF($C$65="","",IFERROR(LOOKUP(2,1/(('3. Reuniones'!$B$5:$B$64=$C$65)*('3. Reuniones'!$A$5:$A$64&lt;&gt;"")),'3. Reuniones'!$G$5:$G$64),""))</f>
        <v/>
      </c>
    </row>
    <row r="72" ht="22" customHeight="1">
      <c r="B72" s="12" t="inlineStr">
        <is>
          <t>Fecha y notas de cada reunión</t>
        </is>
      </c>
      <c r="C72" s="16" t="inlineStr">
        <is>
          <t>Se apuntan en la hoja 3. Reuniones: una fila por reunión.</t>
        </is>
      </c>
    </row>
    <row r="73" ht="10" customHeight="1"/>
    <row r="74">
      <c r="A74" s="11" t="inlineStr">
        <is>
          <t>Categoría 8</t>
        </is>
      </c>
    </row>
    <row r="75" ht="22" customHeight="1">
      <c r="B75" s="12" t="inlineStr">
        <is>
          <t>Categoría</t>
        </is>
      </c>
      <c r="C75" s="13" t="n"/>
    </row>
    <row r="76" ht="22" customHeight="1">
      <c r="B76" s="12" t="inlineStr">
        <is>
          <t>Responsable</t>
        </is>
      </c>
      <c r="C76" s="13" t="n"/>
    </row>
    <row r="77" ht="22" customHeight="1">
      <c r="B77" s="12" t="inlineStr">
        <is>
          <t>Objetivo del trimestre (una cifra)</t>
        </is>
      </c>
      <c r="C77" s="13" t="n"/>
    </row>
    <row r="78" ht="22" customHeight="1">
      <c r="B78" s="12" t="inlineStr">
        <is>
          <t>Presupuesto de surtido</t>
        </is>
      </c>
      <c r="C78" s="13" t="n"/>
    </row>
    <row r="79" ht="36" customHeight="1">
      <c r="B79" s="12" t="inlineStr">
        <is>
          <t>Criterio de exposición</t>
        </is>
      </c>
      <c r="C79" s="13" t="n"/>
    </row>
    <row r="80" ht="22" customHeight="1">
      <c r="B80" s="12" t="inlineStr">
        <is>
          <t>Próxima revisión (fecha)</t>
        </is>
      </c>
      <c r="C80" s="14" t="n"/>
    </row>
    <row r="81" ht="36" customHeight="1">
      <c r="B81" s="15" t="inlineStr">
        <is>
          <t>Última decisión tomada</t>
        </is>
      </c>
      <c r="C81" s="5">
        <f>IF($C$75="","",IFERROR(LOOKUP(2,1/(('3. Reuniones'!$B$5:$B$64=$C$75)*('3. Reuniones'!$A$5:$A$64&lt;&gt;"")),'3. Reuniones'!$G$5:$G$64),""))</f>
        <v/>
      </c>
    </row>
    <row r="82" ht="22" customHeight="1">
      <c r="B82" s="12" t="inlineStr">
        <is>
          <t>Fecha y notas de cada reunión</t>
        </is>
      </c>
      <c r="C82" s="16" t="inlineStr">
        <is>
          <t>Se apuntan en la hoja 3. Reuniones: una fila por reunión.</t>
        </is>
      </c>
    </row>
    <row r="83" ht="10" customHeight="1"/>
  </sheetData>
  <mergeCells count="10">
    <mergeCell ref="A44:C44"/>
    <mergeCell ref="A1:C1"/>
    <mergeCell ref="A14:C14"/>
    <mergeCell ref="A74:C74"/>
    <mergeCell ref="A34:C34"/>
    <mergeCell ref="A4:C4"/>
    <mergeCell ref="A54:C54"/>
    <mergeCell ref="A24:C24"/>
    <mergeCell ref="A2:C2"/>
    <mergeCell ref="A64:C64"/>
  </mergeCells>
  <dataValidations count="1">
    <dataValidation sqref="C10 C20 C30 C40 C50 C60 C70 C80" showDropDown="0" showInputMessage="0" showErrorMessage="1" allowBlank="1" errorTitle="Fecha" error="Escribe una fecha, por ejemplo 15/11/2026." type="date" operator="greaterThan">
      <formula1>36526</formula1>
    </dataValidation>
  </dataValidations>
  <pageMargins left="0.3" right="0.3" top="0.4" bottom="0.4"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H64"/>
  <sheetViews>
    <sheetView showGridLines="0" tabSelected="0" workbookViewId="0">
      <pane ySplit="4" topLeftCell="A5" activePane="bottomLeft" state="frozen"/>
      <selection pane="bottomLeft" activeCell="A1" sqref="A1"/>
    </sheetView>
  </sheetViews>
  <sheetFormatPr baseColWidth="8" defaultRowHeight="15"/>
  <cols>
    <col width="14" customWidth="1" min="1" max="1"/>
    <col width="24" customWidth="1" min="2" max="2"/>
    <col width="22" customWidth="1" min="3" max="3"/>
    <col width="34" customWidth="1" min="4" max="4"/>
    <col width="34" customWidth="1" min="5" max="5"/>
    <col width="20" customWidth="1" min="6" max="6"/>
    <col width="40" customWidth="1" min="7" max="7"/>
    <col width="16" customWidth="1" min="8" max="8"/>
  </cols>
  <sheetData>
    <row r="1" ht="24" customHeight="1">
      <c r="A1" s="1" t="inlineStr">
        <is>
          <t>FICHA DE CATEGORÍA · REUNIONES MENSUALES</t>
        </is>
      </c>
    </row>
    <row r="2">
      <c r="A2" s="2" t="inlineStr">
        <is>
          <t>Una fila por reunión de quince minutos: tres preguntas y una decisión con fecha de revisión.</t>
        </is>
      </c>
    </row>
    <row r="3" ht="8" customHeight="1"/>
    <row r="4" ht="30" customHeight="1">
      <c r="A4" s="3" t="inlineStr">
        <is>
          <t>Fecha</t>
        </is>
      </c>
      <c r="B4" s="3" t="inlineStr">
        <is>
          <t>Categoría</t>
        </is>
      </c>
      <c r="C4" s="3" t="inlineStr">
        <is>
          <t>Cifra del mes</t>
        </is>
      </c>
      <c r="D4" s="3" t="inlineStr">
        <is>
          <t>Qué se cambió desde la última vez</t>
        </is>
      </c>
      <c r="E4" s="3" t="inlineStr">
        <is>
          <t>Qué necesita de ti</t>
        </is>
      </c>
      <c r="F4" s="3" t="inlineStr">
        <is>
          <t>Fecha de revisión</t>
        </is>
      </c>
      <c r="G4" s="3" t="inlineStr">
        <is>
          <t>Decisión (una sola)</t>
        </is>
      </c>
      <c r="H4" s="3" t="inlineStr">
        <is>
          <t>Aviso</t>
        </is>
      </c>
    </row>
    <row r="5" ht="30" customHeight="1">
      <c r="A5" s="17" t="n"/>
      <c r="B5" s="13" t="n"/>
      <c r="C5" s="13" t="n"/>
      <c r="D5" s="13" t="n"/>
      <c r="E5" s="13" t="n"/>
      <c r="F5" s="17" t="n"/>
      <c r="G5" s="13" t="n"/>
      <c r="H5" s="7">
        <f>IF(AND(A5&lt;&gt;"",G5=""),"Falta la decisión","")</f>
        <v/>
      </c>
    </row>
    <row r="6" ht="30" customHeight="1">
      <c r="A6" s="17" t="n"/>
      <c r="B6" s="13" t="n"/>
      <c r="C6" s="13" t="n"/>
      <c r="D6" s="13" t="n"/>
      <c r="E6" s="13" t="n"/>
      <c r="F6" s="17" t="n"/>
      <c r="G6" s="13" t="n"/>
      <c r="H6" s="7">
        <f>IF(AND(A6&lt;&gt;"",G6=""),"Falta la decisión","")</f>
        <v/>
      </c>
    </row>
    <row r="7" ht="30" customHeight="1">
      <c r="A7" s="17" t="n"/>
      <c r="B7" s="13" t="n"/>
      <c r="C7" s="13" t="n"/>
      <c r="D7" s="13" t="n"/>
      <c r="E7" s="13" t="n"/>
      <c r="F7" s="17" t="n"/>
      <c r="G7" s="13" t="n"/>
      <c r="H7" s="7">
        <f>IF(AND(A7&lt;&gt;"",G7=""),"Falta la decisión","")</f>
        <v/>
      </c>
    </row>
    <row r="8" ht="30" customHeight="1">
      <c r="A8" s="17" t="n"/>
      <c r="B8" s="13" t="n"/>
      <c r="C8" s="13" t="n"/>
      <c r="D8" s="13" t="n"/>
      <c r="E8" s="13" t="n"/>
      <c r="F8" s="17" t="n"/>
      <c r="G8" s="13" t="n"/>
      <c r="H8" s="7">
        <f>IF(AND(A8&lt;&gt;"",G8=""),"Falta la decisión","")</f>
        <v/>
      </c>
    </row>
    <row r="9" ht="30" customHeight="1">
      <c r="A9" s="17" t="n"/>
      <c r="B9" s="13" t="n"/>
      <c r="C9" s="13" t="n"/>
      <c r="D9" s="13" t="n"/>
      <c r="E9" s="13" t="n"/>
      <c r="F9" s="17" t="n"/>
      <c r="G9" s="13" t="n"/>
      <c r="H9" s="7">
        <f>IF(AND(A9&lt;&gt;"",G9=""),"Falta la decisión","")</f>
        <v/>
      </c>
    </row>
    <row r="10" ht="30" customHeight="1">
      <c r="A10" s="17" t="n"/>
      <c r="B10" s="13" t="n"/>
      <c r="C10" s="13" t="n"/>
      <c r="D10" s="13" t="n"/>
      <c r="E10" s="13" t="n"/>
      <c r="F10" s="17" t="n"/>
      <c r="G10" s="13" t="n"/>
      <c r="H10" s="7">
        <f>IF(AND(A10&lt;&gt;"",G10=""),"Falta la decisión","")</f>
        <v/>
      </c>
    </row>
    <row r="11" ht="30" customHeight="1">
      <c r="A11" s="17" t="n"/>
      <c r="B11" s="13" t="n"/>
      <c r="C11" s="13" t="n"/>
      <c r="D11" s="13" t="n"/>
      <c r="E11" s="13" t="n"/>
      <c r="F11" s="17" t="n"/>
      <c r="G11" s="13" t="n"/>
      <c r="H11" s="7">
        <f>IF(AND(A11&lt;&gt;"",G11=""),"Falta la decisión","")</f>
        <v/>
      </c>
    </row>
    <row r="12" ht="30" customHeight="1">
      <c r="A12" s="17" t="n"/>
      <c r="B12" s="13" t="n"/>
      <c r="C12" s="13" t="n"/>
      <c r="D12" s="13" t="n"/>
      <c r="E12" s="13" t="n"/>
      <c r="F12" s="17" t="n"/>
      <c r="G12" s="13" t="n"/>
      <c r="H12" s="7">
        <f>IF(AND(A12&lt;&gt;"",G12=""),"Falta la decisión","")</f>
        <v/>
      </c>
    </row>
    <row r="13" ht="30" customHeight="1">
      <c r="A13" s="17" t="n"/>
      <c r="B13" s="13" t="n"/>
      <c r="C13" s="13" t="n"/>
      <c r="D13" s="13" t="n"/>
      <c r="E13" s="13" t="n"/>
      <c r="F13" s="17" t="n"/>
      <c r="G13" s="13" t="n"/>
      <c r="H13" s="7">
        <f>IF(AND(A13&lt;&gt;"",G13=""),"Falta la decisión","")</f>
        <v/>
      </c>
    </row>
    <row r="14" ht="30" customHeight="1">
      <c r="A14" s="17" t="n"/>
      <c r="B14" s="13" t="n"/>
      <c r="C14" s="13" t="n"/>
      <c r="D14" s="13" t="n"/>
      <c r="E14" s="13" t="n"/>
      <c r="F14" s="17" t="n"/>
      <c r="G14" s="13" t="n"/>
      <c r="H14" s="7">
        <f>IF(AND(A14&lt;&gt;"",G14=""),"Falta la decisión","")</f>
        <v/>
      </c>
    </row>
    <row r="15" ht="30" customHeight="1">
      <c r="A15" s="17" t="n"/>
      <c r="B15" s="13" t="n"/>
      <c r="C15" s="13" t="n"/>
      <c r="D15" s="13" t="n"/>
      <c r="E15" s="13" t="n"/>
      <c r="F15" s="17" t="n"/>
      <c r="G15" s="13" t="n"/>
      <c r="H15" s="7">
        <f>IF(AND(A15&lt;&gt;"",G15=""),"Falta la decisión","")</f>
        <v/>
      </c>
    </row>
    <row r="16" ht="30" customHeight="1">
      <c r="A16" s="17" t="n"/>
      <c r="B16" s="13" t="n"/>
      <c r="C16" s="13" t="n"/>
      <c r="D16" s="13" t="n"/>
      <c r="E16" s="13" t="n"/>
      <c r="F16" s="17" t="n"/>
      <c r="G16" s="13" t="n"/>
      <c r="H16" s="7">
        <f>IF(AND(A16&lt;&gt;"",G16=""),"Falta la decisión","")</f>
        <v/>
      </c>
    </row>
    <row r="17" ht="30" customHeight="1">
      <c r="A17" s="17" t="n"/>
      <c r="B17" s="13" t="n"/>
      <c r="C17" s="13" t="n"/>
      <c r="D17" s="13" t="n"/>
      <c r="E17" s="13" t="n"/>
      <c r="F17" s="17" t="n"/>
      <c r="G17" s="13" t="n"/>
      <c r="H17" s="7">
        <f>IF(AND(A17&lt;&gt;"",G17=""),"Falta la decisión","")</f>
        <v/>
      </c>
    </row>
    <row r="18" ht="30" customHeight="1">
      <c r="A18" s="17" t="n"/>
      <c r="B18" s="13" t="n"/>
      <c r="C18" s="13" t="n"/>
      <c r="D18" s="13" t="n"/>
      <c r="E18" s="13" t="n"/>
      <c r="F18" s="17" t="n"/>
      <c r="G18" s="13" t="n"/>
      <c r="H18" s="7">
        <f>IF(AND(A18&lt;&gt;"",G18=""),"Falta la decisión","")</f>
        <v/>
      </c>
    </row>
    <row r="19" ht="30" customHeight="1">
      <c r="A19" s="17" t="n"/>
      <c r="B19" s="13" t="n"/>
      <c r="C19" s="13" t="n"/>
      <c r="D19" s="13" t="n"/>
      <c r="E19" s="13" t="n"/>
      <c r="F19" s="17" t="n"/>
      <c r="G19" s="13" t="n"/>
      <c r="H19" s="7">
        <f>IF(AND(A19&lt;&gt;"",G19=""),"Falta la decisión","")</f>
        <v/>
      </c>
    </row>
    <row r="20" ht="30" customHeight="1">
      <c r="A20" s="17" t="n"/>
      <c r="B20" s="13" t="n"/>
      <c r="C20" s="13" t="n"/>
      <c r="D20" s="13" t="n"/>
      <c r="E20" s="13" t="n"/>
      <c r="F20" s="17" t="n"/>
      <c r="G20" s="13" t="n"/>
      <c r="H20" s="7">
        <f>IF(AND(A20&lt;&gt;"",G20=""),"Falta la decisión","")</f>
        <v/>
      </c>
    </row>
    <row r="21" ht="30" customHeight="1">
      <c r="A21" s="17" t="n"/>
      <c r="B21" s="13" t="n"/>
      <c r="C21" s="13" t="n"/>
      <c r="D21" s="13" t="n"/>
      <c r="E21" s="13" t="n"/>
      <c r="F21" s="17" t="n"/>
      <c r="G21" s="13" t="n"/>
      <c r="H21" s="7">
        <f>IF(AND(A21&lt;&gt;"",G21=""),"Falta la decisión","")</f>
        <v/>
      </c>
    </row>
    <row r="22" ht="30" customHeight="1">
      <c r="A22" s="17" t="n"/>
      <c r="B22" s="13" t="n"/>
      <c r="C22" s="13" t="n"/>
      <c r="D22" s="13" t="n"/>
      <c r="E22" s="13" t="n"/>
      <c r="F22" s="17" t="n"/>
      <c r="G22" s="13" t="n"/>
      <c r="H22" s="7">
        <f>IF(AND(A22&lt;&gt;"",G22=""),"Falta la decisión","")</f>
        <v/>
      </c>
    </row>
    <row r="23" ht="30" customHeight="1">
      <c r="A23" s="17" t="n"/>
      <c r="B23" s="13" t="n"/>
      <c r="C23" s="13" t="n"/>
      <c r="D23" s="13" t="n"/>
      <c r="E23" s="13" t="n"/>
      <c r="F23" s="17" t="n"/>
      <c r="G23" s="13" t="n"/>
      <c r="H23" s="7">
        <f>IF(AND(A23&lt;&gt;"",G23=""),"Falta la decisión","")</f>
        <v/>
      </c>
    </row>
    <row r="24" ht="30" customHeight="1">
      <c r="A24" s="17" t="n"/>
      <c r="B24" s="13" t="n"/>
      <c r="C24" s="13" t="n"/>
      <c r="D24" s="13" t="n"/>
      <c r="E24" s="13" t="n"/>
      <c r="F24" s="17" t="n"/>
      <c r="G24" s="13" t="n"/>
      <c r="H24" s="7">
        <f>IF(AND(A24&lt;&gt;"",G24=""),"Falta la decisión","")</f>
        <v/>
      </c>
    </row>
    <row r="25" ht="30" customHeight="1">
      <c r="A25" s="17" t="n"/>
      <c r="B25" s="13" t="n"/>
      <c r="C25" s="13" t="n"/>
      <c r="D25" s="13" t="n"/>
      <c r="E25" s="13" t="n"/>
      <c r="F25" s="17" t="n"/>
      <c r="G25" s="13" t="n"/>
      <c r="H25" s="7">
        <f>IF(AND(A25&lt;&gt;"",G25=""),"Falta la decisión","")</f>
        <v/>
      </c>
    </row>
    <row r="26" ht="30" customHeight="1">
      <c r="A26" s="17" t="n"/>
      <c r="B26" s="13" t="n"/>
      <c r="C26" s="13" t="n"/>
      <c r="D26" s="13" t="n"/>
      <c r="E26" s="13" t="n"/>
      <c r="F26" s="17" t="n"/>
      <c r="G26" s="13" t="n"/>
      <c r="H26" s="7">
        <f>IF(AND(A26&lt;&gt;"",G26=""),"Falta la decisión","")</f>
        <v/>
      </c>
    </row>
    <row r="27" ht="30" customHeight="1">
      <c r="A27" s="17" t="n"/>
      <c r="B27" s="13" t="n"/>
      <c r="C27" s="13" t="n"/>
      <c r="D27" s="13" t="n"/>
      <c r="E27" s="13" t="n"/>
      <c r="F27" s="17" t="n"/>
      <c r="G27" s="13" t="n"/>
      <c r="H27" s="7">
        <f>IF(AND(A27&lt;&gt;"",G27=""),"Falta la decisión","")</f>
        <v/>
      </c>
    </row>
    <row r="28" ht="30" customHeight="1">
      <c r="A28" s="17" t="n"/>
      <c r="B28" s="13" t="n"/>
      <c r="C28" s="13" t="n"/>
      <c r="D28" s="13" t="n"/>
      <c r="E28" s="13" t="n"/>
      <c r="F28" s="17" t="n"/>
      <c r="G28" s="13" t="n"/>
      <c r="H28" s="7">
        <f>IF(AND(A28&lt;&gt;"",G28=""),"Falta la decisión","")</f>
        <v/>
      </c>
    </row>
    <row r="29" ht="30" customHeight="1">
      <c r="A29" s="17" t="n"/>
      <c r="B29" s="13" t="n"/>
      <c r="C29" s="13" t="n"/>
      <c r="D29" s="13" t="n"/>
      <c r="E29" s="13" t="n"/>
      <c r="F29" s="17" t="n"/>
      <c r="G29" s="13" t="n"/>
      <c r="H29" s="7">
        <f>IF(AND(A29&lt;&gt;"",G29=""),"Falta la decisión","")</f>
        <v/>
      </c>
    </row>
    <row r="30" ht="30" customHeight="1">
      <c r="A30" s="17" t="n"/>
      <c r="B30" s="13" t="n"/>
      <c r="C30" s="13" t="n"/>
      <c r="D30" s="13" t="n"/>
      <c r="E30" s="13" t="n"/>
      <c r="F30" s="17" t="n"/>
      <c r="G30" s="13" t="n"/>
      <c r="H30" s="7">
        <f>IF(AND(A30&lt;&gt;"",G30=""),"Falta la decisión","")</f>
        <v/>
      </c>
    </row>
    <row r="31" ht="30" customHeight="1">
      <c r="A31" s="17" t="n"/>
      <c r="B31" s="13" t="n"/>
      <c r="C31" s="13" t="n"/>
      <c r="D31" s="13" t="n"/>
      <c r="E31" s="13" t="n"/>
      <c r="F31" s="17" t="n"/>
      <c r="G31" s="13" t="n"/>
      <c r="H31" s="7">
        <f>IF(AND(A31&lt;&gt;"",G31=""),"Falta la decisión","")</f>
        <v/>
      </c>
    </row>
    <row r="32" ht="30" customHeight="1">
      <c r="A32" s="17" t="n"/>
      <c r="B32" s="13" t="n"/>
      <c r="C32" s="13" t="n"/>
      <c r="D32" s="13" t="n"/>
      <c r="E32" s="13" t="n"/>
      <c r="F32" s="17" t="n"/>
      <c r="G32" s="13" t="n"/>
      <c r="H32" s="7">
        <f>IF(AND(A32&lt;&gt;"",G32=""),"Falta la decisión","")</f>
        <v/>
      </c>
    </row>
    <row r="33" ht="30" customHeight="1">
      <c r="A33" s="17" t="n"/>
      <c r="B33" s="13" t="n"/>
      <c r="C33" s="13" t="n"/>
      <c r="D33" s="13" t="n"/>
      <c r="E33" s="13" t="n"/>
      <c r="F33" s="17" t="n"/>
      <c r="G33" s="13" t="n"/>
      <c r="H33" s="7">
        <f>IF(AND(A33&lt;&gt;"",G33=""),"Falta la decisión","")</f>
        <v/>
      </c>
    </row>
    <row r="34" ht="30" customHeight="1">
      <c r="A34" s="17" t="n"/>
      <c r="B34" s="13" t="n"/>
      <c r="C34" s="13" t="n"/>
      <c r="D34" s="13" t="n"/>
      <c r="E34" s="13" t="n"/>
      <c r="F34" s="17" t="n"/>
      <c r="G34" s="13" t="n"/>
      <c r="H34" s="7">
        <f>IF(AND(A34&lt;&gt;"",G34=""),"Falta la decisión","")</f>
        <v/>
      </c>
    </row>
    <row r="35" ht="30" customHeight="1">
      <c r="A35" s="17" t="n"/>
      <c r="B35" s="13" t="n"/>
      <c r="C35" s="13" t="n"/>
      <c r="D35" s="13" t="n"/>
      <c r="E35" s="13" t="n"/>
      <c r="F35" s="17" t="n"/>
      <c r="G35" s="13" t="n"/>
      <c r="H35" s="7">
        <f>IF(AND(A35&lt;&gt;"",G35=""),"Falta la decisión","")</f>
        <v/>
      </c>
    </row>
    <row r="36" ht="30" customHeight="1">
      <c r="A36" s="17" t="n"/>
      <c r="B36" s="13" t="n"/>
      <c r="C36" s="13" t="n"/>
      <c r="D36" s="13" t="n"/>
      <c r="E36" s="13" t="n"/>
      <c r="F36" s="17" t="n"/>
      <c r="G36" s="13" t="n"/>
      <c r="H36" s="7">
        <f>IF(AND(A36&lt;&gt;"",G36=""),"Falta la decisión","")</f>
        <v/>
      </c>
    </row>
    <row r="37" ht="30" customHeight="1">
      <c r="A37" s="17" t="n"/>
      <c r="B37" s="13" t="n"/>
      <c r="C37" s="13" t="n"/>
      <c r="D37" s="13" t="n"/>
      <c r="E37" s="13" t="n"/>
      <c r="F37" s="17" t="n"/>
      <c r="G37" s="13" t="n"/>
      <c r="H37" s="7">
        <f>IF(AND(A37&lt;&gt;"",G37=""),"Falta la decisión","")</f>
        <v/>
      </c>
    </row>
    <row r="38" ht="30" customHeight="1">
      <c r="A38" s="17" t="n"/>
      <c r="B38" s="13" t="n"/>
      <c r="C38" s="13" t="n"/>
      <c r="D38" s="13" t="n"/>
      <c r="E38" s="13" t="n"/>
      <c r="F38" s="17" t="n"/>
      <c r="G38" s="13" t="n"/>
      <c r="H38" s="7">
        <f>IF(AND(A38&lt;&gt;"",G38=""),"Falta la decisión","")</f>
        <v/>
      </c>
    </row>
    <row r="39" ht="30" customHeight="1">
      <c r="A39" s="17" t="n"/>
      <c r="B39" s="13" t="n"/>
      <c r="C39" s="13" t="n"/>
      <c r="D39" s="13" t="n"/>
      <c r="E39" s="13" t="n"/>
      <c r="F39" s="17" t="n"/>
      <c r="G39" s="13" t="n"/>
      <c r="H39" s="7">
        <f>IF(AND(A39&lt;&gt;"",G39=""),"Falta la decisión","")</f>
        <v/>
      </c>
    </row>
    <row r="40" ht="30" customHeight="1">
      <c r="A40" s="17" t="n"/>
      <c r="B40" s="13" t="n"/>
      <c r="C40" s="13" t="n"/>
      <c r="D40" s="13" t="n"/>
      <c r="E40" s="13" t="n"/>
      <c r="F40" s="17" t="n"/>
      <c r="G40" s="13" t="n"/>
      <c r="H40" s="7">
        <f>IF(AND(A40&lt;&gt;"",G40=""),"Falta la decisión","")</f>
        <v/>
      </c>
    </row>
    <row r="41" ht="30" customHeight="1">
      <c r="A41" s="17" t="n"/>
      <c r="B41" s="13" t="n"/>
      <c r="C41" s="13" t="n"/>
      <c r="D41" s="13" t="n"/>
      <c r="E41" s="13" t="n"/>
      <c r="F41" s="17" t="n"/>
      <c r="G41" s="13" t="n"/>
      <c r="H41" s="7">
        <f>IF(AND(A41&lt;&gt;"",G41=""),"Falta la decisión","")</f>
        <v/>
      </c>
    </row>
    <row r="42" ht="30" customHeight="1">
      <c r="A42" s="17" t="n"/>
      <c r="B42" s="13" t="n"/>
      <c r="C42" s="13" t="n"/>
      <c r="D42" s="13" t="n"/>
      <c r="E42" s="13" t="n"/>
      <c r="F42" s="17" t="n"/>
      <c r="G42" s="13" t="n"/>
      <c r="H42" s="7">
        <f>IF(AND(A42&lt;&gt;"",G42=""),"Falta la decisión","")</f>
        <v/>
      </c>
    </row>
    <row r="43" ht="30" customHeight="1">
      <c r="A43" s="17" t="n"/>
      <c r="B43" s="13" t="n"/>
      <c r="C43" s="13" t="n"/>
      <c r="D43" s="13" t="n"/>
      <c r="E43" s="13" t="n"/>
      <c r="F43" s="17" t="n"/>
      <c r="G43" s="13" t="n"/>
      <c r="H43" s="7">
        <f>IF(AND(A43&lt;&gt;"",G43=""),"Falta la decisión","")</f>
        <v/>
      </c>
    </row>
    <row r="44" ht="30" customHeight="1">
      <c r="A44" s="17" t="n"/>
      <c r="B44" s="13" t="n"/>
      <c r="C44" s="13" t="n"/>
      <c r="D44" s="13" t="n"/>
      <c r="E44" s="13" t="n"/>
      <c r="F44" s="17" t="n"/>
      <c r="G44" s="13" t="n"/>
      <c r="H44" s="7">
        <f>IF(AND(A44&lt;&gt;"",G44=""),"Falta la decisión","")</f>
        <v/>
      </c>
    </row>
    <row r="45" ht="30" customHeight="1">
      <c r="A45" s="17" t="n"/>
      <c r="B45" s="13" t="n"/>
      <c r="C45" s="13" t="n"/>
      <c r="D45" s="13" t="n"/>
      <c r="E45" s="13" t="n"/>
      <c r="F45" s="17" t="n"/>
      <c r="G45" s="13" t="n"/>
      <c r="H45" s="7">
        <f>IF(AND(A45&lt;&gt;"",G45=""),"Falta la decisión","")</f>
        <v/>
      </c>
    </row>
    <row r="46" ht="30" customHeight="1">
      <c r="A46" s="17" t="n"/>
      <c r="B46" s="13" t="n"/>
      <c r="C46" s="13" t="n"/>
      <c r="D46" s="13" t="n"/>
      <c r="E46" s="13" t="n"/>
      <c r="F46" s="17" t="n"/>
      <c r="G46" s="13" t="n"/>
      <c r="H46" s="7">
        <f>IF(AND(A46&lt;&gt;"",G46=""),"Falta la decisión","")</f>
        <v/>
      </c>
    </row>
    <row r="47" ht="30" customHeight="1">
      <c r="A47" s="17" t="n"/>
      <c r="B47" s="13" t="n"/>
      <c r="C47" s="13" t="n"/>
      <c r="D47" s="13" t="n"/>
      <c r="E47" s="13" t="n"/>
      <c r="F47" s="17" t="n"/>
      <c r="G47" s="13" t="n"/>
      <c r="H47" s="7">
        <f>IF(AND(A47&lt;&gt;"",G47=""),"Falta la decisión","")</f>
        <v/>
      </c>
    </row>
    <row r="48" ht="30" customHeight="1">
      <c r="A48" s="17" t="n"/>
      <c r="B48" s="13" t="n"/>
      <c r="C48" s="13" t="n"/>
      <c r="D48" s="13" t="n"/>
      <c r="E48" s="13" t="n"/>
      <c r="F48" s="17" t="n"/>
      <c r="G48" s="13" t="n"/>
      <c r="H48" s="7">
        <f>IF(AND(A48&lt;&gt;"",G48=""),"Falta la decisión","")</f>
        <v/>
      </c>
    </row>
    <row r="49" ht="30" customHeight="1">
      <c r="A49" s="17" t="n"/>
      <c r="B49" s="13" t="n"/>
      <c r="C49" s="13" t="n"/>
      <c r="D49" s="13" t="n"/>
      <c r="E49" s="13" t="n"/>
      <c r="F49" s="17" t="n"/>
      <c r="G49" s="13" t="n"/>
      <c r="H49" s="7">
        <f>IF(AND(A49&lt;&gt;"",G49=""),"Falta la decisión","")</f>
        <v/>
      </c>
    </row>
    <row r="50" ht="30" customHeight="1">
      <c r="A50" s="17" t="n"/>
      <c r="B50" s="13" t="n"/>
      <c r="C50" s="13" t="n"/>
      <c r="D50" s="13" t="n"/>
      <c r="E50" s="13" t="n"/>
      <c r="F50" s="17" t="n"/>
      <c r="G50" s="13" t="n"/>
      <c r="H50" s="7">
        <f>IF(AND(A50&lt;&gt;"",G50=""),"Falta la decisión","")</f>
        <v/>
      </c>
    </row>
    <row r="51" ht="30" customHeight="1">
      <c r="A51" s="17" t="n"/>
      <c r="B51" s="13" t="n"/>
      <c r="C51" s="13" t="n"/>
      <c r="D51" s="13" t="n"/>
      <c r="E51" s="13" t="n"/>
      <c r="F51" s="17" t="n"/>
      <c r="G51" s="13" t="n"/>
      <c r="H51" s="7">
        <f>IF(AND(A51&lt;&gt;"",G51=""),"Falta la decisión","")</f>
        <v/>
      </c>
    </row>
    <row r="52" ht="30" customHeight="1">
      <c r="A52" s="17" t="n"/>
      <c r="B52" s="13" t="n"/>
      <c r="C52" s="13" t="n"/>
      <c r="D52" s="13" t="n"/>
      <c r="E52" s="13" t="n"/>
      <c r="F52" s="17" t="n"/>
      <c r="G52" s="13" t="n"/>
      <c r="H52" s="7">
        <f>IF(AND(A52&lt;&gt;"",G52=""),"Falta la decisión","")</f>
        <v/>
      </c>
    </row>
    <row r="53" ht="30" customHeight="1">
      <c r="A53" s="17" t="n"/>
      <c r="B53" s="13" t="n"/>
      <c r="C53" s="13" t="n"/>
      <c r="D53" s="13" t="n"/>
      <c r="E53" s="13" t="n"/>
      <c r="F53" s="17" t="n"/>
      <c r="G53" s="13" t="n"/>
      <c r="H53" s="7">
        <f>IF(AND(A53&lt;&gt;"",G53=""),"Falta la decisión","")</f>
        <v/>
      </c>
    </row>
    <row r="54" ht="30" customHeight="1">
      <c r="A54" s="17" t="n"/>
      <c r="B54" s="13" t="n"/>
      <c r="C54" s="13" t="n"/>
      <c r="D54" s="13" t="n"/>
      <c r="E54" s="13" t="n"/>
      <c r="F54" s="17" t="n"/>
      <c r="G54" s="13" t="n"/>
      <c r="H54" s="7">
        <f>IF(AND(A54&lt;&gt;"",G54=""),"Falta la decisión","")</f>
        <v/>
      </c>
    </row>
    <row r="55" ht="30" customHeight="1">
      <c r="A55" s="17" t="n"/>
      <c r="B55" s="13" t="n"/>
      <c r="C55" s="13" t="n"/>
      <c r="D55" s="13" t="n"/>
      <c r="E55" s="13" t="n"/>
      <c r="F55" s="17" t="n"/>
      <c r="G55" s="13" t="n"/>
      <c r="H55" s="7">
        <f>IF(AND(A55&lt;&gt;"",G55=""),"Falta la decisión","")</f>
        <v/>
      </c>
    </row>
    <row r="56" ht="30" customHeight="1">
      <c r="A56" s="17" t="n"/>
      <c r="B56" s="13" t="n"/>
      <c r="C56" s="13" t="n"/>
      <c r="D56" s="13" t="n"/>
      <c r="E56" s="13" t="n"/>
      <c r="F56" s="17" t="n"/>
      <c r="G56" s="13" t="n"/>
      <c r="H56" s="7">
        <f>IF(AND(A56&lt;&gt;"",G56=""),"Falta la decisión","")</f>
        <v/>
      </c>
    </row>
    <row r="57" ht="30" customHeight="1">
      <c r="A57" s="17" t="n"/>
      <c r="B57" s="13" t="n"/>
      <c r="C57" s="13" t="n"/>
      <c r="D57" s="13" t="n"/>
      <c r="E57" s="13" t="n"/>
      <c r="F57" s="17" t="n"/>
      <c r="G57" s="13" t="n"/>
      <c r="H57" s="7">
        <f>IF(AND(A57&lt;&gt;"",G57=""),"Falta la decisión","")</f>
        <v/>
      </c>
    </row>
    <row r="58" ht="30" customHeight="1">
      <c r="A58" s="17" t="n"/>
      <c r="B58" s="13" t="n"/>
      <c r="C58" s="13" t="n"/>
      <c r="D58" s="13" t="n"/>
      <c r="E58" s="13" t="n"/>
      <c r="F58" s="17" t="n"/>
      <c r="G58" s="13" t="n"/>
      <c r="H58" s="7">
        <f>IF(AND(A58&lt;&gt;"",G58=""),"Falta la decisión","")</f>
        <v/>
      </c>
    </row>
    <row r="59" ht="30" customHeight="1">
      <c r="A59" s="17" t="n"/>
      <c r="B59" s="13" t="n"/>
      <c r="C59" s="13" t="n"/>
      <c r="D59" s="13" t="n"/>
      <c r="E59" s="13" t="n"/>
      <c r="F59" s="17" t="n"/>
      <c r="G59" s="13" t="n"/>
      <c r="H59" s="7">
        <f>IF(AND(A59&lt;&gt;"",G59=""),"Falta la decisión","")</f>
        <v/>
      </c>
    </row>
    <row r="60" ht="30" customHeight="1">
      <c r="A60" s="17" t="n"/>
      <c r="B60" s="13" t="n"/>
      <c r="C60" s="13" t="n"/>
      <c r="D60" s="13" t="n"/>
      <c r="E60" s="13" t="n"/>
      <c r="F60" s="17" t="n"/>
      <c r="G60" s="13" t="n"/>
      <c r="H60" s="7">
        <f>IF(AND(A60&lt;&gt;"",G60=""),"Falta la decisión","")</f>
        <v/>
      </c>
    </row>
    <row r="61" ht="30" customHeight="1">
      <c r="A61" s="17" t="n"/>
      <c r="B61" s="13" t="n"/>
      <c r="C61" s="13" t="n"/>
      <c r="D61" s="13" t="n"/>
      <c r="E61" s="13" t="n"/>
      <c r="F61" s="17" t="n"/>
      <c r="G61" s="13" t="n"/>
      <c r="H61" s="7">
        <f>IF(AND(A61&lt;&gt;"",G61=""),"Falta la decisión","")</f>
        <v/>
      </c>
    </row>
    <row r="62" ht="30" customHeight="1">
      <c r="A62" s="17" t="n"/>
      <c r="B62" s="13" t="n"/>
      <c r="C62" s="13" t="n"/>
      <c r="D62" s="13" t="n"/>
      <c r="E62" s="13" t="n"/>
      <c r="F62" s="17" t="n"/>
      <c r="G62" s="13" t="n"/>
      <c r="H62" s="7">
        <f>IF(AND(A62&lt;&gt;"",G62=""),"Falta la decisión","")</f>
        <v/>
      </c>
    </row>
    <row r="63" ht="30" customHeight="1">
      <c r="A63" s="17" t="n"/>
      <c r="B63" s="13" t="n"/>
      <c r="C63" s="13" t="n"/>
      <c r="D63" s="13" t="n"/>
      <c r="E63" s="13" t="n"/>
      <c r="F63" s="17" t="n"/>
      <c r="G63" s="13" t="n"/>
      <c r="H63" s="7">
        <f>IF(AND(A63&lt;&gt;"",G63=""),"Falta la decisión","")</f>
        <v/>
      </c>
    </row>
    <row r="64" ht="30" customHeight="1">
      <c r="A64" s="17" t="n"/>
      <c r="B64" s="13" t="n"/>
      <c r="C64" s="13" t="n"/>
      <c r="D64" s="13" t="n"/>
      <c r="E64" s="13" t="n"/>
      <c r="F64" s="17" t="n"/>
      <c r="G64" s="13" t="n"/>
      <c r="H64" s="7">
        <f>IF(AND(A64&lt;&gt;"",G64=""),"Falta la decisión","")</f>
        <v/>
      </c>
    </row>
  </sheetData>
  <mergeCells count="2">
    <mergeCell ref="A2:H2"/>
    <mergeCell ref="A1:H1"/>
  </mergeCells>
  <dataValidations count="2">
    <dataValidation sqref="A5 A6 A7 A8 A9 A10 A11 A12 A13 A14 A15 A16 A17 A18 A19 A20 A21 A22 A23 A24 A25 A26 A27 A28 A29 A30 A31 A32 A33 A34 A35 A36 A37 A38 A39 A40 A41 A42 A43 A44 A45 A46 A47 A48 A49 A50 A51 A52 A53 A54 A55 A56 A57 A58 A59 A60 A61 A62 A63 A64 F5 F6 F7 F8 F9 F10 F11 F12 F13 F14 F15 F16 F17 F18 F19 F20 F21 F22 F23 F24 F25 F26 F27 F28 F29 F30 F31 F32 F33 F34 F35 F36 F37 F38 F39 F40 F41 F42 F43 F44 F45 F46 F47 F48 F49 F50 F51 F52 F53 F54 F55 F56 F57 F58 F59 F60 F61 F62 F63 F64" showDropDown="0" showInputMessage="0" showErrorMessage="1" allowBlank="1" errorTitle="Fecha" error="Escribe una fecha, por ejemplo 15/11/2026." type="date" operator="greaterThan">
      <formula1>36526</formula1>
    </dataValidation>
    <dataValidation sqref="B5 B6 B7 B8 B9 B10 B11 B12 B13 B14 B15 B16 B17 B18 B19 B20 B21 B22 B23 B24 B25 B26 B27 B28 B29 B30 B31 B32 B33 B34 B35 B36 B37 B38 B39 B40 B41 B42 B43 B44 B45 B46 B47 B48 B49 B50 B51 B52 B53 B54 B55 B56 B57 B58 B59 B60 B61 B62 B63 B64" showDropDown="0" showInputMessage="0" showErrorMessage="0" allowBlank="1" type="list">
      <formula1>='1. Resumen'!$A$6:$A$13</formula1>
    </dataValidation>
  </dataValidations>
  <pageMargins left="0.3" right="0.3" top="0.4" bottom="0.4"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B20"/>
  <sheetViews>
    <sheetView showGridLines="0" tabSelected="0" workbookViewId="0">
      <selection activeCell="A1" sqref="A1"/>
    </sheetView>
  </sheetViews>
  <sheetFormatPr baseColWidth="8" defaultRowHeight="15"/>
  <cols>
    <col width="4" customWidth="1" min="1" max="1"/>
    <col width="108" customWidth="1" min="2" max="2"/>
  </cols>
  <sheetData>
    <row r="1" ht="24" customHeight="1">
      <c r="A1" s="1" t="inlineStr">
        <is>
          <t>CÓMO SE LEE LA FICHA</t>
        </is>
      </c>
    </row>
    <row r="2">
      <c r="A2" s="2" t="inlineStr">
        <is>
          <t>Diez líneas para usarla. Documento interno del titular.</t>
        </is>
      </c>
    </row>
    <row r="3" ht="8" customHeight="1"/>
    <row r="4" ht="40" customHeight="1">
      <c r="B4" s="18" t="inlineStr">
        <is>
          <t>1. Antes de rellenar nada, decide cuántas categorías vas a repartir: empieza por una o dos, hasta un máximo de ocho.</t>
        </is>
      </c>
    </row>
    <row r="5" ht="40" customHeight="1">
      <c r="B5" s="18" t="inlineStr">
        <is>
          <t>2. En la hoja 2 hay una ficha por categoría. Escribe el nombre de la categoría, quién la lleva, el objetivo del trimestre (una sola cifra), el presupuesto de surtido y el criterio de exposición.</t>
        </is>
      </c>
    </row>
    <row r="6" ht="40" customHeight="1">
      <c r="B6" s="18" t="inlineStr">
        <is>
          <t>3. El objetivo es una cifra que se pueda sacar del programa de gestión sin una tarde de Excel: unidades, euros, margen o rotación de una gama.</t>
        </is>
      </c>
    </row>
    <row r="7" ht="40" customHeight="1">
      <c r="B7" s="18" t="inlineStr">
        <is>
          <t>4. Escribe también la fecha de la próxima revisión. Es la fecha en la que volveréis a mirar la decisión que toméis.</t>
        </is>
      </c>
    </row>
    <row r="8" ht="54" customHeight="1">
      <c r="B8" s="18" t="inlineStr">
        <is>
          <t>5. Una vez al mes, en quince minutos y con la categoría delante, apunta la reunión en la hoja 3: la cifra del mes, qué se cambió, qué necesita el responsable de ti y una sola decisión con su fecha de revisión.</t>
        </is>
      </c>
    </row>
    <row r="9" ht="26" customHeight="1">
      <c r="B9" s="18" t="inlineStr">
        <is>
          <t>6. Las celdas amarillas las rellenas tú; las azules se calculan solas.</t>
        </is>
      </c>
    </row>
    <row r="10" ht="26" customHeight="1">
      <c r="B10" s="18" t="inlineStr">
        <is>
          <t>7. La hoja 1 resume todas las categorías. Si una no tiene responsable, la celda se pone en rojo.</t>
        </is>
      </c>
    </row>
    <row r="11" ht="40" customHeight="1">
      <c r="B11" s="18" t="inlineStr">
        <is>
          <t>8. El aviso «Sin reunión» sale si no hay reuniones apuntadas o han pasado más de 45 días desde la última. «Revisión vencida» sale si la fecha de próxima revisión ya pasó.</t>
        </is>
      </c>
    </row>
    <row r="12" ht="26" customHeight="1">
      <c r="B12" s="18" t="inlineStr">
        <is>
          <t>9. La última decisión de cada categoría aparece sola en su ficha, tomada de la última reunión apuntada.</t>
        </is>
      </c>
    </row>
    <row r="13" ht="40" customHeight="1">
      <c r="B13" s="18" t="inlineStr">
        <is>
          <t>10. Es un documento interno del titular: usa nombres de pila o iniciales si prefieres, y guárdalo como cualquier otro dato del personal.</t>
        </is>
      </c>
    </row>
    <row r="15">
      <c r="B15" s="19" t="inlineStr">
        <is>
          <t>De dónde sale</t>
        </is>
      </c>
    </row>
    <row r="16" ht="44" customHeight="1">
      <c r="B16" s="18" t="inlineStr">
        <is>
          <t>Complemento de farmapro Impulso, edición 31: «Cada categoría, un dueño». La guía en PDF explica cómo elegir las categorías, a quién se las das, qué se le pide y cómo es la reunión mensual. Esta ficha es para ir apuntándolo.</t>
        </is>
      </c>
    </row>
    <row r="17" ht="30" customHeight="1">
      <c r="B17" s="18" t="inlineStr">
        <is>
          <t>En el portal tienes la píldora «Motiva a tu equipo con el sistema de categorías responsables». Enlace a los cursos del portal (clic para abrir):</t>
        </is>
      </c>
    </row>
    <row r="18" ht="20" customHeight="1">
      <c r="B18" s="20" t="inlineStr">
        <is>
          <t>portal.farmapro.es/cursos  ·  Cursos del portal</t>
        </is>
      </c>
    </row>
    <row r="20">
      <c r="B20" s="21" t="inlineStr">
        <is>
          <t>farmapro  ·  farmapro.es</t>
        </is>
      </c>
    </row>
  </sheetData>
  <mergeCells count="2">
    <mergeCell ref="A2:B2"/>
    <mergeCell ref="A1:B1"/>
  </mergeCells>
  <hyperlinks>
    <hyperlink xmlns:r="http://schemas.openxmlformats.org/officeDocument/2006/relationships" ref="B18" r:id="rId1"/>
  </hyperlinks>
  <pageMargins left="0.3" right="0.3" top="0.4" bottom="0.4" header="0.5" footer="0.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2026-10-22T08:41:03Z</dcterms:created>
  <dcterms:modified xmlns:dcterms="http://purl.org/dc/terms/" xmlns:xsi="http://www.w3.org/2001/XMLSchema-instance" xsi:type="dcterms:W3CDTF">2026-10-22T08:41:03Z</dcterms:modified>
</cp:coreProperties>
</file>